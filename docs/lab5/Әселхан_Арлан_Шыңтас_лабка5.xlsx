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араметрлер" sheetId="1" state="visible" r:id="rId3"/>
    <sheet name="Capacity" sheetId="2" state="visible" r:id="rId4"/>
    <sheet name="WBS" sheetId="3" state="visible" r:id="rId5"/>
    <sheet name="Салыстыру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<sst xmlns="http://schemas.openxmlformats.org/spreadsheetml/2006/main" count="187" uniqueCount="147">
  <si>
    <t xml:space="preserve">DentLux · 5-ЗЖ · Кіріс параметрлері</t>
  </si>
  <si>
    <t xml:space="preserve">Көк мәтін + сары фон = өзгертуге болатын кіріс. Басқа парақтардағы барлық есептер осы мәндерге байланған.</t>
  </si>
  <si>
    <t xml:space="preserve">Параметр</t>
  </si>
  <si>
    <t xml:space="preserve">Мәні</t>
  </si>
  <si>
    <t xml:space="preserve">Түсініктеме / дереккөз</t>
  </si>
  <si>
    <t xml:space="preserve">Команда мүшелерінің саны</t>
  </si>
  <si>
    <t xml:space="preserve">Ізбасхан Әселхан, Жандос Арлан, Еділ Шыңтас (4-ЗЖ команда құрамы)</t>
  </si>
  <si>
    <t xml:space="preserve">Семестрдегі жобаға арналған апта</t>
  </si>
  <si>
    <t xml:space="preserve">Жоба 05.10.2026 – 27.12.2026 (дәріс үлгісі: 12 апта)</t>
  </si>
  <si>
    <t xml:space="preserve">Аптасына бір адамға жобаға сағат</t>
  </si>
  <si>
    <t xml:space="preserve">Дәріс, 30-слайд: 6 сағат/апта</t>
  </si>
  <si>
    <t xml:space="preserve">Сессия және мерекелерге кеткен апта</t>
  </si>
  <si>
    <t xml:space="preserve">Дәріс, 30-слайд: 2 апта (25 қазан, 16 желтоқсан, сессия)</t>
  </si>
  <si>
    <t xml:space="preserve">Үйлестіру және ауысу үлесі</t>
  </si>
  <si>
    <t xml:space="preserve">Дәріс, 29–30-слайдтар: әдетте 10–20%, үлгіде 15%</t>
  </si>
  <si>
    <t xml:space="preserve">Жоспарлы жүктеменің жоғарғы бағдары</t>
  </si>
  <si>
    <t xml:space="preserve">Дәріс, 31-слайд: 70–80% жоспарлау</t>
  </si>
  <si>
    <t xml:space="preserve">Жоспарлы жүктеменің төменгі бағдары</t>
  </si>
  <si>
    <t xml:space="preserve">Дәріс, 31-слайд</t>
  </si>
  <si>
    <t xml:space="preserve">Критерий: capacity-ге көбейткіш (шек)</t>
  </si>
  <si>
    <t xml:space="preserve">Дәріс, 37-слайд: көлем capacity-ді екі есе аспауы тиіс</t>
  </si>
  <si>
    <t xml:space="preserve">Дәріс үлгісіндегі команда (салыстыру үшін)</t>
  </si>
  <si>
    <t xml:space="preserve">Дәріс, 30-слайд: 4 адам → ≈ 204 сағат (тексеру)</t>
  </si>
  <si>
    <t xml:space="preserve">Ескерту: сағат пен команда құрамы — сіздің жобаңыздың жорамалы; бағдарлар мен үйлестіру үлесі — дәріс материалынан алынған.</t>
  </si>
  <si>
    <t xml:space="preserve">DentLux · Семестрге нақты capacity есебі</t>
  </si>
  <si>
    <t xml:space="preserve">Әдістеме: дәріс, 30-слайд. Жасыл мәтін = басқа парақтан алынған мән, қара = формула.</t>
  </si>
  <si>
    <t xml:space="preserve">Көрсеткіш</t>
  </si>
  <si>
    <t xml:space="preserve">Формула</t>
  </si>
  <si>
    <t xml:space="preserve">Бірлік</t>
  </si>
  <si>
    <t xml:space="preserve">Команда</t>
  </si>
  <si>
    <t xml:space="preserve">Параметрлер</t>
  </si>
  <si>
    <t xml:space="preserve">адам</t>
  </si>
  <si>
    <t xml:space="preserve">Семестрдегі жоба апталары</t>
  </si>
  <si>
    <t xml:space="preserve">апта</t>
  </si>
  <si>
    <t xml:space="preserve">Аптасына бір адамға сағат</t>
  </si>
  <si>
    <t xml:space="preserve">сағат</t>
  </si>
  <si>
    <t xml:space="preserve">Жалпы capacity</t>
  </si>
  <si>
    <t xml:space="preserve">адам × апта × сағат</t>
  </si>
  <si>
    <t xml:space="preserve">Минус сессия және мерекелер</t>
  </si>
  <si>
    <t xml:space="preserve">−(апта × адам × сағат)</t>
  </si>
  <si>
    <t xml:space="preserve">Қалдық</t>
  </si>
  <si>
    <t xml:space="preserve">жалпы + минус</t>
  </si>
  <si>
    <t xml:space="preserve">Минус үйлестіру және ауысу</t>
  </si>
  <si>
    <t xml:space="preserve">−(қалдық × үйлестіру %)</t>
  </si>
  <si>
    <t xml:space="preserve">Нақты capacity</t>
  </si>
  <si>
    <t xml:space="preserve">қалдық + үйлестіру минусы</t>
  </si>
  <si>
    <t xml:space="preserve">Бір адамға нақты capacity</t>
  </si>
  <si>
    <t xml:space="preserve">нақты capacity ÷ адам</t>
  </si>
  <si>
    <t xml:space="preserve">Дәріс үлгісімен тексеру (30-слайд)</t>
  </si>
  <si>
    <t xml:space="preserve">Жалпы capacity (4 адам)</t>
  </si>
  <si>
    <t xml:space="preserve">Минус үйлестіру (15% × қалдық)</t>
  </si>
  <si>
    <t xml:space="preserve">−(C18+C19) × %</t>
  </si>
  <si>
    <t xml:space="preserve">Нақты capacity (дәріс: ≈ 204)</t>
  </si>
  <si>
    <t xml:space="preserve">C18 + C19 + C20</t>
  </si>
  <si>
    <t xml:space="preserve">Дәріс нәтижесімен сәйкес келе ме</t>
  </si>
  <si>
    <t xml:space="preserve">204 сағатпен салыстыру</t>
  </si>
  <si>
    <t xml:space="preserve">Бұл тексеру формуланың дәріс үлгісімен бірдей нәтиже беретінін көрсетеді (15% — қалған көлемнен, жалпы көлемнен емес). Біздің команда үшін мән C12 ұяшығында.</t>
  </si>
  <si>
    <t xml:space="preserve">DentLux · WBS жұмыс пакеттері және еңбексыйымдылық бағасы (сағат)</t>
  </si>
  <si>
    <t xml:space="preserve">Көк = кіріс (сағат, орындаушы, инкремент). Топтар мен қосындылар формуламен есептеледі.</t>
  </si>
  <si>
    <t xml:space="preserve">Код</t>
  </si>
  <si>
    <t xml:space="preserve">Жұмыс пакеті (нәтиже)</t>
  </si>
  <si>
    <t xml:space="preserve">Жауапты (R)</t>
  </si>
  <si>
    <t xml:space="preserve">Инкремент</t>
  </si>
  <si>
    <t xml:space="preserve">Сағат</t>
  </si>
  <si>
    <t xml:space="preserve">Топ</t>
  </si>
  <si>
    <t xml:space="preserve">8/80 ережесі</t>
  </si>
  <si>
    <t xml:space="preserve">1.1.1</t>
  </si>
  <si>
    <t xml:space="preserve">PostgreSQL схемасы және миграциялар</t>
  </si>
  <si>
    <t xml:space="preserve">Еділ Шыңтас</t>
  </si>
  <si>
    <t xml:space="preserve">1.1.2</t>
  </si>
  <si>
    <t xml:space="preserve">Қайталанған брондаудан қорғау (транзакциялық логика)</t>
  </si>
  <si>
    <t xml:space="preserve">1.1.3</t>
  </si>
  <si>
    <t xml:space="preserve">Аудит журналдары және дербес деректерді шифрлау (AES-256)</t>
  </si>
  <si>
    <t xml:space="preserve">1.1.4</t>
  </si>
  <si>
    <t xml:space="preserve">Брондау және әкімшілік REST API (OpenAPI бойынша)</t>
  </si>
  <si>
    <t xml:space="preserve">Жандос Арлан</t>
  </si>
  <si>
    <t xml:space="preserve">1.1.5</t>
  </si>
  <si>
    <t xml:space="preserve">Telegram/SMS растау және еске салғыш модулі</t>
  </si>
  <si>
    <t xml:space="preserve">1.2.1</t>
  </si>
  <si>
    <t xml:space="preserve">Ақпараттық беттер: басты бет, филиал, қызметтер мен бағалар, дәрігерлер</t>
  </si>
  <si>
    <t xml:space="preserve">1.2.2</t>
  </si>
  <si>
    <t xml:space="preserve">Онлайн жазылу модулі (слот таңдау, дерек енгізу, растау)</t>
  </si>
  <si>
    <t xml:space="preserve">Ізбасхан Әселхан</t>
  </si>
  <si>
    <t xml:space="preserve">1.2.3</t>
  </si>
  <si>
    <t xml:space="preserve">Әкімші панелі (кесте, «Келді»/«No-show», жазылуды жылжыту)</t>
  </si>
  <si>
    <t xml:space="preserve">1.3.1</t>
  </si>
  <si>
    <t xml:space="preserve">Docker Compose және CI/CD ортасы</t>
  </si>
  <si>
    <t xml:space="preserve">1.3.2</t>
  </si>
  <si>
    <t xml:space="preserve">Prometheus/Grafana мониторингі және алерттер</t>
  </si>
  <si>
    <t xml:space="preserve">1.4.1</t>
  </si>
  <si>
    <t xml:space="preserve">Жоба жоспары және тәуекелдер тізілімі</t>
  </si>
  <si>
    <t xml:space="preserve">1.4.2</t>
  </si>
  <si>
    <t xml:space="preserve">Жүктеме және қауіпсіздік сынағының есебі</t>
  </si>
  <si>
    <t xml:space="preserve">1.4.3</t>
  </si>
  <si>
    <t xml:space="preserve">Ескі журналдардан көшірілген деректер</t>
  </si>
  <si>
    <t xml:space="preserve">1.4.4</t>
  </si>
  <si>
    <t xml:space="preserve">Қабылданған жүйе және оқытылған әкімшілер (нұсқаулықпен)</t>
  </si>
  <si>
    <t xml:space="preserve">1</t>
  </si>
  <si>
    <t xml:space="preserve">DentLux веб-сайты — барлығы</t>
  </si>
  <si>
    <t xml:space="preserve">100 пайыз ережесін тексеру: балалардың қосындысы ата-анаға тең</t>
  </si>
  <si>
    <t xml:space="preserve">Атауы</t>
  </si>
  <si>
    <t xml:space="preserve">Сағат (пакеттер қосындысы)</t>
  </si>
  <si>
    <t xml:space="preserve">Сәйкес</t>
  </si>
  <si>
    <t xml:space="preserve">1.1</t>
  </si>
  <si>
    <t xml:space="preserve">Серверлік ядро және дерекқор</t>
  </si>
  <si>
    <t xml:space="preserve">1.2</t>
  </si>
  <si>
    <t xml:space="preserve">Веб-сайт интерфейсі</t>
  </si>
  <si>
    <t xml:space="preserve">1.3</t>
  </si>
  <si>
    <t xml:space="preserve">Орта және мониторинг</t>
  </si>
  <si>
    <t xml:space="preserve">1.4</t>
  </si>
  <si>
    <t xml:space="preserve">Жоспар, сапа және тапсыру</t>
  </si>
  <si>
    <t xml:space="preserve">Барлық топтардың қосындысы</t>
  </si>
  <si>
    <t xml:space="preserve">Ескерту: 8/80 ережесі — пакет 8 сағаттан кем емес, 80 сағаттан артық емес (дәріс, 6-слайд). Үйлестіру (кездесу, ревью) пакет емес, ол Capacity парағында 15% ретінде шегеріледі.</t>
  </si>
  <si>
    <t xml:space="preserve">DentLux · Жұмыс көлемін capacity-мен салыстыру</t>
  </si>
  <si>
    <t xml:space="preserve">Барлық сандар WBS және Capacity парақтарынан формуламен алынады.</t>
  </si>
  <si>
    <t xml:space="preserve">Мерзімі</t>
  </si>
  <si>
    <t xml:space="preserve">Capacity-ден үлесі</t>
  </si>
  <si>
    <t xml:space="preserve">Веха</t>
  </si>
  <si>
    <t xml:space="preserve">05.10 – 08.11.2026</t>
  </si>
  <si>
    <t xml:space="preserve">M1 · 08.11.2026</t>
  </si>
  <si>
    <t xml:space="preserve">09.11 – 29.11.2026</t>
  </si>
  <si>
    <t xml:space="preserve">M2 · 29.11.2026</t>
  </si>
  <si>
    <t xml:space="preserve">30.11 – 20.12.2026</t>
  </si>
  <si>
    <t xml:space="preserve">M3 · 20.12.2026</t>
  </si>
  <si>
    <t xml:space="preserve">Үш инкремент барлығы</t>
  </si>
  <si>
    <t xml:space="preserve">Резерв (қор)</t>
  </si>
  <si>
    <t xml:space="preserve">21.12 – 27.12.2026</t>
  </si>
  <si>
    <t xml:space="preserve">кезеңнің соңында</t>
  </si>
  <si>
    <t xml:space="preserve">WBS жиынымен сәйкестік</t>
  </si>
  <si>
    <t xml:space="preserve">Критерийлерді тексеру</t>
  </si>
  <si>
    <t xml:space="preserve">Критерий</t>
  </si>
  <si>
    <t xml:space="preserve">Шек</t>
  </si>
  <si>
    <t xml:space="preserve">Нақты мән</t>
  </si>
  <si>
    <t xml:space="preserve">Нәтиже</t>
  </si>
  <si>
    <t xml:space="preserve">Дереккөз</t>
  </si>
  <si>
    <t xml:space="preserve">Көлем ≤ capacity × 2</t>
  </si>
  <si>
    <t xml:space="preserve">5-ЗЖ критерийі, 37-слайд</t>
  </si>
  <si>
    <t xml:space="preserve">Жүктеме ≤ жоғарғы бағдар (80%)</t>
  </si>
  <si>
    <t xml:space="preserve">«100 пайыз жүктеме» қатесі, 31-слайд</t>
  </si>
  <si>
    <t xml:space="preserve">Жүктеме ≥ төменгі бағдар (70%)</t>
  </si>
  <si>
    <t xml:space="preserve">Жүктеменің мамандар арасында бөлінуі</t>
  </si>
  <si>
    <t xml:space="preserve">Орындаушы</t>
  </si>
  <si>
    <t xml:space="preserve">Жоспарлы жүктеме (сағ.)</t>
  </si>
  <si>
    <t xml:space="preserve">Жеке capacity (сағ.)</t>
  </si>
  <si>
    <t xml:space="preserve">Жүктеме</t>
  </si>
  <si>
    <t xml:space="preserve">Баға</t>
  </si>
  <si>
    <t xml:space="preserve">Барлығы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</si>
</sst>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%"/>
    <numFmt numFmtId="167" formatCode="0.0"/>
    <numFmt numFmtId="168" formatCode="&quot;Инкремент &quot;0"/>
    <numFmt numFmtId="169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Times New Roman"/>
      <family val="0"/>
      <charset val="1"/>
    </font>
    <font>
      <i val="true"/>
      <sz val="11"/>
      <color rgb="FF555555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color rgb="FF008000"/>
      <name val="Times New Roman"/>
      <family val="0"/>
      <charset val="1"/>
    </font>
    <font>
      <b val="true"/>
      <sz val="11"/>
      <name val="Times New Roman"/>
      <family val="0"/>
      <charset val="1"/>
    </font>
    <font>
      <b val="true"/>
      <sz val="11"/>
      <color rgb="FF1F3864"/>
      <name val="Times New Roman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CE6F1"/>
      </patternFill>
    </fill>
    <fill>
      <patternFill patternType="solid">
        <fgColor rgb="FFDCE6F1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3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n">
        <v>12</v>
      </c>
      <c r="C6" s="4" t="s">
        <v>8</v>
      </c>
    </row>
    <row r="7" customFormat="false" ht="15" hidden="false" customHeight="false" outlineLevel="0" collapsed="false">
      <c r="A7" s="4" t="s">
        <v>9</v>
      </c>
      <c r="B7" s="5" t="n">
        <v>6</v>
      </c>
      <c r="C7" s="4" t="s">
        <v>10</v>
      </c>
    </row>
    <row r="8" customFormat="false" ht="15" hidden="false" customHeight="false" outlineLevel="0" collapsed="false">
      <c r="A8" s="4" t="s">
        <v>11</v>
      </c>
      <c r="B8" s="5" t="n">
        <v>2</v>
      </c>
      <c r="C8" s="4" t="s">
        <v>12</v>
      </c>
    </row>
    <row r="9" customFormat="false" ht="15" hidden="false" customHeight="false" outlineLevel="0" collapsed="false">
      <c r="A9" s="4" t="s">
        <v>13</v>
      </c>
      <c r="B9" s="6" t="n">
        <v>0.15</v>
      </c>
      <c r="C9" s="4" t="s">
        <v>14</v>
      </c>
    </row>
    <row r="10" customFormat="false" ht="15" hidden="false" customHeight="false" outlineLevel="0" collapsed="false">
      <c r="A10" s="4" t="s">
        <v>15</v>
      </c>
      <c r="B10" s="6" t="n">
        <v>0.8</v>
      </c>
      <c r="C10" s="4" t="s">
        <v>16</v>
      </c>
    </row>
    <row r="11" customFormat="false" ht="15" hidden="false" customHeight="false" outlineLevel="0" collapsed="false">
      <c r="A11" s="4" t="s">
        <v>17</v>
      </c>
      <c r="B11" s="6" t="n">
        <v>0.7</v>
      </c>
      <c r="C11" s="4" t="s">
        <v>18</v>
      </c>
    </row>
    <row r="12" customFormat="false" ht="15" hidden="false" customHeight="false" outlineLevel="0" collapsed="false">
      <c r="A12" s="4" t="s">
        <v>19</v>
      </c>
      <c r="B12" s="5" t="n">
        <v>2</v>
      </c>
      <c r="C12" s="4" t="s">
        <v>20</v>
      </c>
    </row>
    <row r="13" customFormat="false" ht="15" hidden="false" customHeight="false" outlineLevel="0" collapsed="false">
      <c r="A13" s="4" t="s">
        <v>21</v>
      </c>
      <c r="B13" s="5" t="n">
        <v>4</v>
      </c>
      <c r="C13" s="4" t="s">
        <v>22</v>
      </c>
    </row>
    <row r="15" customFormat="false" ht="15" hidden="false" customHeight="false" outlineLevel="0" collapsed="false">
      <c r="A15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A4" s="3" t="s">
        <v>26</v>
      </c>
      <c r="B4" s="3" t="s">
        <v>27</v>
      </c>
      <c r="C4" s="3" t="s">
        <v>3</v>
      </c>
      <c r="D4" s="3" t="s">
        <v>28</v>
      </c>
    </row>
    <row r="5" customFormat="false" ht="15" hidden="false" customHeight="false" outlineLevel="0" collapsed="false">
      <c r="A5" s="4" t="s">
        <v>29</v>
      </c>
      <c r="B5" s="4" t="s">
        <v>30</v>
      </c>
      <c r="C5" s="7" t="n">
        <f aca="false">Параметрлер!B5</f>
        <v>3</v>
      </c>
      <c r="D5" s="8" t="s">
        <v>31</v>
      </c>
    </row>
    <row r="6" customFormat="false" ht="15" hidden="false" customHeight="false" outlineLevel="0" collapsed="false">
      <c r="A6" s="4" t="s">
        <v>32</v>
      </c>
      <c r="B6" s="4" t="s">
        <v>30</v>
      </c>
      <c r="C6" s="7" t="n">
        <f aca="false">Параметрлер!B6</f>
        <v>12</v>
      </c>
      <c r="D6" s="8" t="s">
        <v>33</v>
      </c>
    </row>
    <row r="7" customFormat="false" ht="15" hidden="false" customHeight="false" outlineLevel="0" collapsed="false">
      <c r="A7" s="4" t="s">
        <v>34</v>
      </c>
      <c r="B7" s="4" t="s">
        <v>30</v>
      </c>
      <c r="C7" s="7" t="n">
        <f aca="false">Параметрлер!B7</f>
        <v>6</v>
      </c>
      <c r="D7" s="8" t="s">
        <v>35</v>
      </c>
    </row>
    <row r="8" customFormat="false" ht="15" hidden="false" customHeight="false" outlineLevel="0" collapsed="false">
      <c r="A8" s="9" t="s">
        <v>36</v>
      </c>
      <c r="B8" s="4" t="s">
        <v>37</v>
      </c>
      <c r="C8" s="10" t="n">
        <f aca="false">C5*C6*C7</f>
        <v>216</v>
      </c>
      <c r="D8" s="8" t="s">
        <v>35</v>
      </c>
    </row>
    <row r="9" customFormat="false" ht="15" hidden="false" customHeight="false" outlineLevel="0" collapsed="false">
      <c r="A9" s="4" t="s">
        <v>38</v>
      </c>
      <c r="B9" s="4" t="s">
        <v>39</v>
      </c>
      <c r="C9" s="11" t="n">
        <f aca="false">-Параметрлер!B8*C5*C7</f>
        <v>-36</v>
      </c>
      <c r="D9" s="8" t="s">
        <v>35</v>
      </c>
    </row>
    <row r="10" customFormat="false" ht="15" hidden="false" customHeight="false" outlineLevel="0" collapsed="false">
      <c r="A10" s="4" t="s">
        <v>40</v>
      </c>
      <c r="B10" s="4" t="s">
        <v>41</v>
      </c>
      <c r="C10" s="11" t="n">
        <f aca="false">C8+C9</f>
        <v>180</v>
      </c>
      <c r="D10" s="8" t="s">
        <v>35</v>
      </c>
    </row>
    <row r="11" customFormat="false" ht="15" hidden="false" customHeight="false" outlineLevel="0" collapsed="false">
      <c r="A11" s="4" t="s">
        <v>42</v>
      </c>
      <c r="B11" s="4" t="s">
        <v>43</v>
      </c>
      <c r="C11" s="11" t="n">
        <f aca="false">-C10*Параметрлер!B9</f>
        <v>-27</v>
      </c>
      <c r="D11" s="8" t="s">
        <v>35</v>
      </c>
    </row>
    <row r="12" customFormat="false" ht="15" hidden="false" customHeight="false" outlineLevel="0" collapsed="false">
      <c r="A12" s="12" t="s">
        <v>44</v>
      </c>
      <c r="B12" s="13" t="s">
        <v>45</v>
      </c>
      <c r="C12" s="14" t="n">
        <f aca="false">C10+C11</f>
        <v>153</v>
      </c>
      <c r="D12" s="15" t="s">
        <v>35</v>
      </c>
    </row>
    <row r="13" customFormat="false" ht="15" hidden="false" customHeight="false" outlineLevel="0" collapsed="false">
      <c r="A13" s="4" t="s">
        <v>46</v>
      </c>
      <c r="B13" s="4" t="s">
        <v>47</v>
      </c>
      <c r="C13" s="11" t="n">
        <f aca="false">C12/C5</f>
        <v>51</v>
      </c>
      <c r="D13" s="8" t="s">
        <v>35</v>
      </c>
    </row>
    <row r="16" customFormat="false" ht="15" hidden="false" customHeight="false" outlineLevel="0" collapsed="false">
      <c r="A16" s="16" t="s">
        <v>48</v>
      </c>
    </row>
    <row r="17" customFormat="false" ht="15" hidden="false" customHeight="false" outlineLevel="0" collapsed="false">
      <c r="A17" s="3" t="s">
        <v>26</v>
      </c>
      <c r="B17" s="3" t="s">
        <v>27</v>
      </c>
      <c r="C17" s="3" t="s">
        <v>3</v>
      </c>
      <c r="D17" s="3" t="s">
        <v>28</v>
      </c>
    </row>
    <row r="18" customFormat="false" ht="15" hidden="false" customHeight="false" outlineLevel="0" collapsed="false">
      <c r="A18" s="4" t="s">
        <v>49</v>
      </c>
      <c r="B18" s="4" t="s">
        <v>37</v>
      </c>
      <c r="C18" s="11" t="n">
        <f aca="false">Параметрлер!B13*Параметрлер!B6*Параметрлер!B7</f>
        <v>288</v>
      </c>
      <c r="D18" s="8" t="s">
        <v>35</v>
      </c>
    </row>
    <row r="19" customFormat="false" ht="15" hidden="false" customHeight="false" outlineLevel="0" collapsed="false">
      <c r="A19" s="4" t="s">
        <v>38</v>
      </c>
      <c r="B19" s="4" t="s">
        <v>39</v>
      </c>
      <c r="C19" s="11" t="n">
        <f aca="false">-Параметрлер!B8*Параметрлер!B13*Параметрлер!B7</f>
        <v>-48</v>
      </c>
      <c r="D19" s="8" t="s">
        <v>35</v>
      </c>
    </row>
    <row r="20" customFormat="false" ht="15" hidden="false" customHeight="false" outlineLevel="0" collapsed="false">
      <c r="A20" s="4" t="s">
        <v>50</v>
      </c>
      <c r="B20" s="4" t="s">
        <v>51</v>
      </c>
      <c r="C20" s="11" t="n">
        <f aca="false">-(C18+C19)*Параметрлер!B9</f>
        <v>-36</v>
      </c>
      <c r="D20" s="8" t="s">
        <v>35</v>
      </c>
    </row>
    <row r="21" customFormat="false" ht="15" hidden="false" customHeight="false" outlineLevel="0" collapsed="false">
      <c r="A21" s="4" t="s">
        <v>52</v>
      </c>
      <c r="B21" s="4" t="s">
        <v>53</v>
      </c>
      <c r="C21" s="11" t="n">
        <f aca="false">C18+C19+C20</f>
        <v>204</v>
      </c>
      <c r="D21" s="8" t="s">
        <v>35</v>
      </c>
    </row>
    <row r="22" customFormat="false" ht="15" hidden="false" customHeight="false" outlineLevel="0" collapsed="false">
      <c r="A22" s="4" t="s">
        <v>54</v>
      </c>
      <c r="B22" s="4" t="s">
        <v>55</v>
      </c>
      <c r="C22" s="8" t="str">
        <f aca="false">IF(ROUND(C21,0)=204,"✓ сәйкес","✗ айырма бар")</f>
        <v>✓ сәйкес</v>
      </c>
      <c r="D22" s="8"/>
    </row>
    <row r="24" customFormat="false" ht="15" hidden="false" customHeight="false" outlineLevel="0" collapsed="false">
      <c r="A24" s="2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3" customFormat="false" ht="15" hidden="false" customHeight="false" outlineLevel="0" collapsed="false">
      <c r="A3" s="3" t="s">
        <v>59</v>
      </c>
      <c r="B3" s="3" t="s">
        <v>60</v>
      </c>
      <c r="C3" s="3" t="s">
        <v>61</v>
      </c>
      <c r="D3" s="3" t="s">
        <v>62</v>
      </c>
      <c r="E3" s="3" t="s">
        <v>63</v>
      </c>
      <c r="F3" s="3" t="s">
        <v>64</v>
      </c>
      <c r="G3" s="3" t="s">
        <v>65</v>
      </c>
    </row>
    <row r="4" customFormat="false" ht="15" hidden="false" customHeight="false" outlineLevel="0" collapsed="false">
      <c r="A4" s="8" t="s">
        <v>66</v>
      </c>
      <c r="B4" s="4" t="s">
        <v>67</v>
      </c>
      <c r="C4" s="17" t="s">
        <v>68</v>
      </c>
      <c r="D4" s="5" t="n">
        <v>1</v>
      </c>
      <c r="E4" s="5" t="n">
        <v>8</v>
      </c>
      <c r="F4" s="8" t="str">
        <f aca="false">LEFT(A4,3)</f>
        <v>1.1</v>
      </c>
      <c r="G4" s="8" t="str">
        <f aca="false">IF(AND(E4&gt;=8,E4&lt;=80),"✓","✗")</f>
        <v>✓</v>
      </c>
    </row>
    <row r="5" customFormat="false" ht="15" hidden="false" customHeight="false" outlineLevel="0" collapsed="false">
      <c r="A5" s="8" t="s">
        <v>69</v>
      </c>
      <c r="B5" s="4" t="s">
        <v>70</v>
      </c>
      <c r="C5" s="17" t="s">
        <v>68</v>
      </c>
      <c r="D5" s="5" t="n">
        <v>2</v>
      </c>
      <c r="E5" s="5" t="n">
        <v>10</v>
      </c>
      <c r="F5" s="8" t="str">
        <f aca="false">LEFT(A5,3)</f>
        <v>1.1</v>
      </c>
      <c r="G5" s="8" t="str">
        <f aca="false">IF(AND(E5&gt;=8,E5&lt;=80),"✓","✗")</f>
        <v>✓</v>
      </c>
    </row>
    <row r="6" customFormat="false" ht="15" hidden="false" customHeight="false" outlineLevel="0" collapsed="false">
      <c r="A6" s="8" t="s">
        <v>71</v>
      </c>
      <c r="B6" s="4" t="s">
        <v>72</v>
      </c>
      <c r="C6" s="17" t="s">
        <v>68</v>
      </c>
      <c r="D6" s="5" t="n">
        <v>1</v>
      </c>
      <c r="E6" s="5" t="n">
        <v>8</v>
      </c>
      <c r="F6" s="8" t="str">
        <f aca="false">LEFT(A6,3)</f>
        <v>1.1</v>
      </c>
      <c r="G6" s="8" t="str">
        <f aca="false">IF(AND(E6&gt;=8,E6&lt;=80),"✓","✗")</f>
        <v>✓</v>
      </c>
    </row>
    <row r="7" customFormat="false" ht="15" hidden="false" customHeight="false" outlineLevel="0" collapsed="false">
      <c r="A7" s="8" t="s">
        <v>73</v>
      </c>
      <c r="B7" s="4" t="s">
        <v>74</v>
      </c>
      <c r="C7" s="17" t="s">
        <v>75</v>
      </c>
      <c r="D7" s="5" t="n">
        <v>2</v>
      </c>
      <c r="E7" s="5" t="n">
        <v>10</v>
      </c>
      <c r="F7" s="8" t="str">
        <f aca="false">LEFT(A7,3)</f>
        <v>1.1</v>
      </c>
      <c r="G7" s="8" t="str">
        <f aca="false">IF(AND(E7&gt;=8,E7&lt;=80),"✓","✗")</f>
        <v>✓</v>
      </c>
    </row>
    <row r="8" customFormat="false" ht="15" hidden="false" customHeight="false" outlineLevel="0" collapsed="false">
      <c r="A8" s="8" t="s">
        <v>76</v>
      </c>
      <c r="B8" s="4" t="s">
        <v>77</v>
      </c>
      <c r="C8" s="17" t="s">
        <v>75</v>
      </c>
      <c r="D8" s="5" t="n">
        <v>2</v>
      </c>
      <c r="E8" s="5" t="n">
        <v>8</v>
      </c>
      <c r="F8" s="8" t="str">
        <f aca="false">LEFT(A8,3)</f>
        <v>1.1</v>
      </c>
      <c r="G8" s="8" t="str">
        <f aca="false">IF(AND(E8&gt;=8,E8&lt;=80),"✓","✗")</f>
        <v>✓</v>
      </c>
    </row>
    <row r="9" customFormat="false" ht="25.35" hidden="false" customHeight="false" outlineLevel="0" collapsed="false">
      <c r="A9" s="8" t="s">
        <v>78</v>
      </c>
      <c r="B9" s="4" t="s">
        <v>79</v>
      </c>
      <c r="C9" s="17" t="s">
        <v>68</v>
      </c>
      <c r="D9" s="5" t="n">
        <v>1</v>
      </c>
      <c r="E9" s="5" t="n">
        <v>8</v>
      </c>
      <c r="F9" s="8" t="str">
        <f aca="false">LEFT(A9,3)</f>
        <v>1.2</v>
      </c>
      <c r="G9" s="8" t="str">
        <f aca="false">IF(AND(E9&gt;=8,E9&lt;=80),"✓","✗")</f>
        <v>✓</v>
      </c>
    </row>
    <row r="10" customFormat="false" ht="15" hidden="false" customHeight="false" outlineLevel="0" collapsed="false">
      <c r="A10" s="8" t="s">
        <v>80</v>
      </c>
      <c r="B10" s="4" t="s">
        <v>81</v>
      </c>
      <c r="C10" s="17" t="s">
        <v>82</v>
      </c>
      <c r="D10" s="5" t="n">
        <v>2</v>
      </c>
      <c r="E10" s="5" t="n">
        <v>12</v>
      </c>
      <c r="F10" s="8" t="str">
        <f aca="false">LEFT(A10,3)</f>
        <v>1.2</v>
      </c>
      <c r="G10" s="8" t="str">
        <f aca="false">IF(AND(E10&gt;=8,E10&lt;=80),"✓","✗")</f>
        <v>✓</v>
      </c>
    </row>
    <row r="11" customFormat="false" ht="15" hidden="false" customHeight="false" outlineLevel="0" collapsed="false">
      <c r="A11" s="8" t="s">
        <v>83</v>
      </c>
      <c r="B11" s="4" t="s">
        <v>84</v>
      </c>
      <c r="C11" s="17" t="s">
        <v>82</v>
      </c>
      <c r="D11" s="5" t="n">
        <v>3</v>
      </c>
      <c r="E11" s="5" t="n">
        <v>10</v>
      </c>
      <c r="F11" s="8" t="str">
        <f aca="false">LEFT(A11,3)</f>
        <v>1.2</v>
      </c>
      <c r="G11" s="8" t="str">
        <f aca="false">IF(AND(E11&gt;=8,E11&lt;=80),"✓","✗")</f>
        <v>✓</v>
      </c>
    </row>
    <row r="12" customFormat="false" ht="15" hidden="false" customHeight="false" outlineLevel="0" collapsed="false">
      <c r="A12" s="8" t="s">
        <v>85</v>
      </c>
      <c r="B12" s="4" t="s">
        <v>86</v>
      </c>
      <c r="C12" s="17" t="s">
        <v>75</v>
      </c>
      <c r="D12" s="5" t="n">
        <v>1</v>
      </c>
      <c r="E12" s="5" t="n">
        <v>8</v>
      </c>
      <c r="F12" s="8" t="str">
        <f aca="false">LEFT(A12,3)</f>
        <v>1.3</v>
      </c>
      <c r="G12" s="8" t="str">
        <f aca="false">IF(AND(E12&gt;=8,E12&lt;=80),"✓","✗")</f>
        <v>✓</v>
      </c>
    </row>
    <row r="13" customFormat="false" ht="15" hidden="false" customHeight="false" outlineLevel="0" collapsed="false">
      <c r="A13" s="8" t="s">
        <v>87</v>
      </c>
      <c r="B13" s="4" t="s">
        <v>88</v>
      </c>
      <c r="C13" s="17" t="s">
        <v>75</v>
      </c>
      <c r="D13" s="5" t="n">
        <v>3</v>
      </c>
      <c r="E13" s="5" t="n">
        <v>8</v>
      </c>
      <c r="F13" s="8" t="str">
        <f aca="false">LEFT(A13,3)</f>
        <v>1.3</v>
      </c>
      <c r="G13" s="8" t="str">
        <f aca="false">IF(AND(E13&gt;=8,E13&lt;=80),"✓","✗")</f>
        <v>✓</v>
      </c>
    </row>
    <row r="14" customFormat="false" ht="15" hidden="false" customHeight="false" outlineLevel="0" collapsed="false">
      <c r="A14" s="8" t="s">
        <v>89</v>
      </c>
      <c r="B14" s="4" t="s">
        <v>90</v>
      </c>
      <c r="C14" s="17" t="s">
        <v>82</v>
      </c>
      <c r="D14" s="5" t="n">
        <v>1</v>
      </c>
      <c r="E14" s="5" t="n">
        <v>8</v>
      </c>
      <c r="F14" s="8" t="str">
        <f aca="false">LEFT(A14,3)</f>
        <v>1.4</v>
      </c>
      <c r="G14" s="8" t="str">
        <f aca="false">IF(AND(E14&gt;=8,E14&lt;=80),"✓","✗")</f>
        <v>✓</v>
      </c>
    </row>
    <row r="15" customFormat="false" ht="15" hidden="false" customHeight="false" outlineLevel="0" collapsed="false">
      <c r="A15" s="8" t="s">
        <v>91</v>
      </c>
      <c r="B15" s="4" t="s">
        <v>92</v>
      </c>
      <c r="C15" s="17" t="s">
        <v>75</v>
      </c>
      <c r="D15" s="5" t="n">
        <v>3</v>
      </c>
      <c r="E15" s="5" t="n">
        <v>8</v>
      </c>
      <c r="F15" s="8" t="str">
        <f aca="false">LEFT(A15,3)</f>
        <v>1.4</v>
      </c>
      <c r="G15" s="8" t="str">
        <f aca="false">IF(AND(E15&gt;=8,E15&lt;=80),"✓","✗")</f>
        <v>✓</v>
      </c>
    </row>
    <row r="16" customFormat="false" ht="15" hidden="false" customHeight="false" outlineLevel="0" collapsed="false">
      <c r="A16" s="8" t="s">
        <v>93</v>
      </c>
      <c r="B16" s="4" t="s">
        <v>94</v>
      </c>
      <c r="C16" s="17" t="s">
        <v>68</v>
      </c>
      <c r="D16" s="5" t="n">
        <v>3</v>
      </c>
      <c r="E16" s="5" t="n">
        <v>8</v>
      </c>
      <c r="F16" s="8" t="str">
        <f aca="false">LEFT(A16,3)</f>
        <v>1.4</v>
      </c>
      <c r="G16" s="8" t="str">
        <f aca="false">IF(AND(E16&gt;=8,E16&lt;=80),"✓","✗")</f>
        <v>✓</v>
      </c>
    </row>
    <row r="17" customFormat="false" ht="15" hidden="false" customHeight="false" outlineLevel="0" collapsed="false">
      <c r="A17" s="8" t="s">
        <v>95</v>
      </c>
      <c r="B17" s="4" t="s">
        <v>96</v>
      </c>
      <c r="C17" s="17" t="s">
        <v>82</v>
      </c>
      <c r="D17" s="5" t="n">
        <v>3</v>
      </c>
      <c r="E17" s="5" t="n">
        <v>8</v>
      </c>
      <c r="F17" s="8" t="str">
        <f aca="false">LEFT(A17,3)</f>
        <v>1.4</v>
      </c>
      <c r="G17" s="8" t="str">
        <f aca="false">IF(AND(E17&gt;=8,E17&lt;=80),"✓","✗")</f>
        <v>✓</v>
      </c>
    </row>
    <row r="18" customFormat="false" ht="15" hidden="false" customHeight="false" outlineLevel="0" collapsed="false">
      <c r="A18" s="18" t="s">
        <v>97</v>
      </c>
      <c r="B18" s="19" t="s">
        <v>98</v>
      </c>
      <c r="C18" s="19"/>
      <c r="D18" s="19"/>
      <c r="E18" s="20" t="n">
        <f aca="false">SUM(E4:E17)</f>
        <v>122</v>
      </c>
      <c r="F18" s="19"/>
      <c r="G18" s="18" t="str">
        <f aca="false">IF(COUNTIF(G4:G17,"✓")=ROWS(G4:G17),"✓","✗")</f>
        <v>✓</v>
      </c>
    </row>
    <row r="21" customFormat="false" ht="15" hidden="false" customHeight="false" outlineLevel="0" collapsed="false">
      <c r="A21" s="16" t="s">
        <v>99</v>
      </c>
    </row>
    <row r="22" customFormat="false" ht="25.35" hidden="false" customHeight="false" outlineLevel="0" collapsed="false">
      <c r="A22" s="3" t="s">
        <v>64</v>
      </c>
      <c r="B22" s="3" t="s">
        <v>100</v>
      </c>
      <c r="C22" s="3" t="s">
        <v>101</v>
      </c>
      <c r="D22" s="3"/>
      <c r="E22" s="3"/>
      <c r="F22" s="3"/>
      <c r="G22" s="3" t="s">
        <v>102</v>
      </c>
    </row>
    <row r="23" customFormat="false" ht="15" hidden="false" customHeight="false" outlineLevel="0" collapsed="false">
      <c r="A23" s="8" t="s">
        <v>103</v>
      </c>
      <c r="B23" s="4" t="s">
        <v>104</v>
      </c>
      <c r="C23" s="21" t="n">
        <f aca="false">SUMIF($F$4:$F$17,A23,$E$4:$E$17)</f>
        <v>44</v>
      </c>
      <c r="D23" s="21"/>
      <c r="E23" s="21"/>
      <c r="F23" s="21"/>
      <c r="G23" s="8" t="str">
        <f aca="false">IF(C23=SUMIF($F$4:$F$17,A23,$E$4:$E$17),"✓","✗")</f>
        <v>✓</v>
      </c>
    </row>
    <row r="24" customFormat="false" ht="15" hidden="false" customHeight="false" outlineLevel="0" collapsed="false">
      <c r="A24" s="8" t="s">
        <v>105</v>
      </c>
      <c r="B24" s="4" t="s">
        <v>106</v>
      </c>
      <c r="C24" s="21" t="n">
        <f aca="false">SUMIF($F$4:$F$17,A24,$E$4:$E$17)</f>
        <v>30</v>
      </c>
      <c r="D24" s="21"/>
      <c r="E24" s="21"/>
      <c r="F24" s="21"/>
      <c r="G24" s="8" t="str">
        <f aca="false">IF(C24=SUMIF($F$4:$F$17,A24,$E$4:$E$17),"✓","✗")</f>
        <v>✓</v>
      </c>
    </row>
    <row r="25" customFormat="false" ht="15" hidden="false" customHeight="false" outlineLevel="0" collapsed="false">
      <c r="A25" s="8" t="s">
        <v>107</v>
      </c>
      <c r="B25" s="4" t="s">
        <v>108</v>
      </c>
      <c r="C25" s="21" t="n">
        <f aca="false">SUMIF($F$4:$F$17,A25,$E$4:$E$17)</f>
        <v>16</v>
      </c>
      <c r="D25" s="21"/>
      <c r="E25" s="21"/>
      <c r="F25" s="21"/>
      <c r="G25" s="8" t="str">
        <f aca="false">IF(C25=SUMIF($F$4:$F$17,A25,$E$4:$E$17),"✓","✗")</f>
        <v>✓</v>
      </c>
    </row>
    <row r="26" customFormat="false" ht="15" hidden="false" customHeight="false" outlineLevel="0" collapsed="false">
      <c r="A26" s="8" t="s">
        <v>109</v>
      </c>
      <c r="B26" s="4" t="s">
        <v>110</v>
      </c>
      <c r="C26" s="21" t="n">
        <f aca="false">SUMIF($F$4:$F$17,A26,$E$4:$E$17)</f>
        <v>32</v>
      </c>
      <c r="D26" s="21"/>
      <c r="E26" s="21"/>
      <c r="F26" s="21"/>
      <c r="G26" s="8" t="str">
        <f aca="false">IF(C26=SUMIF($F$4:$F$17,A26,$E$4:$E$17),"✓","✗")</f>
        <v>✓</v>
      </c>
    </row>
    <row r="27" customFormat="false" ht="15" hidden="false" customHeight="false" outlineLevel="0" collapsed="false">
      <c r="A27" s="18" t="s">
        <v>97</v>
      </c>
      <c r="B27" s="19" t="s">
        <v>111</v>
      </c>
      <c r="C27" s="20" t="n">
        <f aca="false">SUM(C23:C26)</f>
        <v>122</v>
      </c>
      <c r="D27" s="20"/>
      <c r="E27" s="20"/>
      <c r="F27" s="20"/>
      <c r="G27" s="18" t="str">
        <f aca="false">IF(C27=E18,"✓","✗")</f>
        <v>✓</v>
      </c>
    </row>
    <row r="29" customFormat="false" ht="15" hidden="false" customHeight="false" outlineLevel="0" collapsed="false">
      <c r="A29" s="2" t="s">
        <v>112</v>
      </c>
    </row>
  </sheetData>
  <mergeCells count="5">
    <mergeCell ref="C23:F23"/>
    <mergeCell ref="C24:F24"/>
    <mergeCell ref="C25:F25"/>
    <mergeCell ref="C26:F26"/>
    <mergeCell ref="C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36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15" hidden="false" customHeight="false" outlineLevel="0" collapsed="false">
      <c r="A4" s="3" t="s">
        <v>62</v>
      </c>
      <c r="B4" s="3" t="s">
        <v>115</v>
      </c>
      <c r="C4" s="3" t="s">
        <v>63</v>
      </c>
      <c r="D4" s="3" t="s">
        <v>116</v>
      </c>
      <c r="E4" s="3" t="s">
        <v>117</v>
      </c>
    </row>
    <row r="5" customFormat="false" ht="15" hidden="false" customHeight="false" outlineLevel="0" collapsed="false">
      <c r="A5" s="22" t="n">
        <v>1</v>
      </c>
      <c r="B5" s="8" t="s">
        <v>118</v>
      </c>
      <c r="C5" s="7" t="n">
        <f aca="false">SUMIF(WBS!$D$4:$D$17,A5,WBS!$E$4:$E$17)</f>
        <v>40</v>
      </c>
      <c r="D5" s="23" t="n">
        <f aca="false">C5/$C$10</f>
        <v>0.261437908496732</v>
      </c>
      <c r="E5" s="8" t="s">
        <v>119</v>
      </c>
    </row>
    <row r="6" customFormat="false" ht="15" hidden="false" customHeight="false" outlineLevel="0" collapsed="false">
      <c r="A6" s="22" t="n">
        <v>2</v>
      </c>
      <c r="B6" s="8" t="s">
        <v>120</v>
      </c>
      <c r="C6" s="7" t="n">
        <f aca="false">SUMIF(WBS!$D$4:$D$17,A6,WBS!$E$4:$E$17)</f>
        <v>40</v>
      </c>
      <c r="D6" s="23" t="n">
        <f aca="false">C6/$C$10</f>
        <v>0.261437908496732</v>
      </c>
      <c r="E6" s="8" t="s">
        <v>121</v>
      </c>
    </row>
    <row r="7" customFormat="false" ht="15" hidden="false" customHeight="false" outlineLevel="0" collapsed="false">
      <c r="A7" s="22" t="n">
        <v>3</v>
      </c>
      <c r="B7" s="8" t="s">
        <v>122</v>
      </c>
      <c r="C7" s="7" t="n">
        <f aca="false">SUMIF(WBS!$D$4:$D$17,A7,WBS!$E$4:$E$17)</f>
        <v>42</v>
      </c>
      <c r="D7" s="23" t="n">
        <f aca="false">C7/$C$10</f>
        <v>0.274509803921569</v>
      </c>
      <c r="E7" s="8" t="s">
        <v>123</v>
      </c>
    </row>
    <row r="8" customFormat="false" ht="15" hidden="false" customHeight="false" outlineLevel="0" collapsed="false">
      <c r="A8" s="19" t="s">
        <v>124</v>
      </c>
      <c r="B8" s="19"/>
      <c r="C8" s="20" t="n">
        <f aca="false">SUM(C5:C7)</f>
        <v>122</v>
      </c>
      <c r="D8" s="24" t="n">
        <f aca="false">C8/$C$10</f>
        <v>0.797385620915033</v>
      </c>
      <c r="E8" s="19"/>
    </row>
    <row r="9" customFormat="false" ht="15" hidden="false" customHeight="false" outlineLevel="0" collapsed="false">
      <c r="A9" s="4" t="s">
        <v>125</v>
      </c>
      <c r="B9" s="8" t="s">
        <v>126</v>
      </c>
      <c r="C9" s="11" t="n">
        <f aca="false">C10-C8</f>
        <v>31</v>
      </c>
      <c r="D9" s="23" t="n">
        <f aca="false">C9/$C$10</f>
        <v>0.202614379084967</v>
      </c>
      <c r="E9" s="8" t="s">
        <v>127</v>
      </c>
    </row>
    <row r="10" customFormat="false" ht="15" hidden="false" customHeight="false" outlineLevel="0" collapsed="false">
      <c r="A10" s="12" t="s">
        <v>44</v>
      </c>
      <c r="B10" s="12"/>
      <c r="C10" s="25" t="n">
        <f aca="false">Capacity!C12</f>
        <v>153</v>
      </c>
      <c r="D10" s="26" t="n">
        <f aca="false">C10/$C$10</f>
        <v>1</v>
      </c>
      <c r="E10" s="12"/>
    </row>
    <row r="11" customFormat="false" ht="15" hidden="false" customHeight="true" outlineLevel="0" collapsed="false">
      <c r="A11" s="4" t="s">
        <v>128</v>
      </c>
      <c r="B11" s="4"/>
      <c r="C11" s="8" t="str">
        <f aca="false">IF(C8=WBS!E18,"✓","✗")</f>
        <v>✓</v>
      </c>
    </row>
    <row r="13" customFormat="false" ht="15" hidden="false" customHeight="false" outlineLevel="0" collapsed="false">
      <c r="A13" s="16" t="s">
        <v>129</v>
      </c>
    </row>
    <row r="14" customFormat="false" ht="15" hidden="false" customHeight="false" outlineLevel="0" collapsed="false">
      <c r="A14" s="3" t="s">
        <v>130</v>
      </c>
      <c r="B14" s="3" t="s">
        <v>131</v>
      </c>
      <c r="C14" s="3" t="s">
        <v>132</v>
      </c>
      <c r="D14" s="3" t="s">
        <v>133</v>
      </c>
      <c r="E14" s="3" t="s">
        <v>134</v>
      </c>
    </row>
    <row r="15" customFormat="false" ht="15" hidden="false" customHeight="false" outlineLevel="0" collapsed="false">
      <c r="A15" s="4" t="s">
        <v>135</v>
      </c>
      <c r="B15" s="27" t="n">
        <f aca="false">Параметрлер!B12*C10</f>
        <v>306</v>
      </c>
      <c r="C15" s="11" t="n">
        <f aca="false">C8</f>
        <v>122</v>
      </c>
      <c r="D15" s="28" t="str">
        <f aca="false">IF(C15&lt;=B15,"✓ орындалды","✗ орындалмады")</f>
        <v>✓ орындалды</v>
      </c>
      <c r="E15" s="4" t="s">
        <v>136</v>
      </c>
    </row>
    <row r="16" customFormat="false" ht="15" hidden="false" customHeight="false" outlineLevel="0" collapsed="false">
      <c r="A16" s="4" t="s">
        <v>137</v>
      </c>
      <c r="B16" s="29" t="n">
        <f aca="false">Параметрлер!B10</f>
        <v>0.8</v>
      </c>
      <c r="C16" s="23" t="n">
        <f aca="false">D8</f>
        <v>0.797385620915033</v>
      </c>
      <c r="D16" s="28" t="str">
        <f aca="false">IF(C16&lt;=B16,"✓ орындалды","✗ асып кетті")</f>
        <v>✓ орындалды</v>
      </c>
      <c r="E16" s="4" t="s">
        <v>138</v>
      </c>
    </row>
    <row r="17" customFormat="false" ht="15" hidden="false" customHeight="false" outlineLevel="0" collapsed="false">
      <c r="A17" s="4" t="s">
        <v>139</v>
      </c>
      <c r="B17" s="29" t="n">
        <f aca="false">Параметрлер!B11</f>
        <v>0.7</v>
      </c>
      <c r="C17" s="23" t="n">
        <f aca="false">D8</f>
        <v>0.797385620915033</v>
      </c>
      <c r="D17" s="28" t="str">
        <f aca="false">IF(C17&gt;=B17,"✓ орындалды","✗ төмен")</f>
        <v>✓ орындалды</v>
      </c>
      <c r="E17" s="4" t="s">
        <v>18</v>
      </c>
    </row>
    <row r="19" customFormat="false" ht="15" hidden="false" customHeight="false" outlineLevel="0" collapsed="false">
      <c r="A19" s="16" t="s">
        <v>140</v>
      </c>
    </row>
    <row r="20" customFormat="false" ht="25.35" hidden="false" customHeight="false" outlineLevel="0" collapsed="false">
      <c r="A20" s="3" t="s">
        <v>141</v>
      </c>
      <c r="B20" s="3" t="s">
        <v>142</v>
      </c>
      <c r="C20" s="3" t="s">
        <v>143</v>
      </c>
      <c r="D20" s="3" t="s">
        <v>144</v>
      </c>
      <c r="E20" s="3" t="s">
        <v>145</v>
      </c>
    </row>
    <row r="21" customFormat="false" ht="15" hidden="false" customHeight="false" outlineLevel="0" collapsed="false">
      <c r="A21" s="4" t="s">
        <v>82</v>
      </c>
      <c r="B21" s="7" t="n">
        <f aca="false">SUMIF(WBS!$C$4:$C$17,A21,WBS!$E$4:$E$17)</f>
        <v>38</v>
      </c>
      <c r="C21" s="27" t="n">
        <f aca="false">Capacity!$C$13</f>
        <v>51</v>
      </c>
      <c r="D21" s="23" t="n">
        <f aca="false">B21/C21</f>
        <v>0.745098039215686</v>
      </c>
      <c r="E21" s="8" t="str">
        <f aca="false">IF(D21&lt;=Параметрлер!$B$10,"✓ норма","⚠ 80%-дан сәл жоғары")</f>
        <v>✓ норма</v>
      </c>
    </row>
    <row r="22" customFormat="false" ht="15" hidden="false" customHeight="false" outlineLevel="0" collapsed="false">
      <c r="A22" s="4" t="s">
        <v>75</v>
      </c>
      <c r="B22" s="7" t="n">
        <f aca="false">SUMIF(WBS!$C$4:$C$17,A22,WBS!$E$4:$E$17)</f>
        <v>42</v>
      </c>
      <c r="C22" s="27" t="n">
        <f aca="false">Capacity!$C$13</f>
        <v>51</v>
      </c>
      <c r="D22" s="23" t="n">
        <f aca="false">B22/C22</f>
        <v>0.823529411764706</v>
      </c>
      <c r="E22" s="8" t="str">
        <f aca="false">IF(D22&lt;=Параметрлер!$B$10,"✓ норма","⚠ 80%-дан сәл жоғары")</f>
        <v>⚠ 80%-дан сәл жоғары</v>
      </c>
    </row>
    <row r="23" customFormat="false" ht="15" hidden="false" customHeight="false" outlineLevel="0" collapsed="false">
      <c r="A23" s="4" t="s">
        <v>68</v>
      </c>
      <c r="B23" s="7" t="n">
        <f aca="false">SUMIF(WBS!$C$4:$C$17,A23,WBS!$E$4:$E$17)</f>
        <v>42</v>
      </c>
      <c r="C23" s="27" t="n">
        <f aca="false">Capacity!$C$13</f>
        <v>51</v>
      </c>
      <c r="D23" s="23" t="n">
        <f aca="false">B23/C23</f>
        <v>0.823529411764706</v>
      </c>
      <c r="E23" s="8" t="str">
        <f aca="false">IF(D23&lt;=Параметрлер!$B$10,"✓ норма","⚠ 80%-дан сәл жоғары")</f>
        <v>⚠ 80%-дан сәл жоғары</v>
      </c>
    </row>
    <row r="24" customFormat="false" ht="15" hidden="false" customHeight="false" outlineLevel="0" collapsed="false">
      <c r="A24" s="19" t="s">
        <v>146</v>
      </c>
      <c r="B24" s="20" t="n">
        <f aca="false">SUM(B21:B23)</f>
        <v>122</v>
      </c>
      <c r="C24" s="30" t="n">
        <f aca="false">SUM(C21:C23)</f>
        <v>153</v>
      </c>
      <c r="D24" s="24" t="n">
        <f aca="false">B24/C24</f>
        <v>0.797385620915033</v>
      </c>
      <c r="E24" s="18" t="str">
        <f aca="false">IF(B24=C8,"✓ WBS-пен сәйкес","✗ сәйкес емес")</f>
        <v>✓ WBS-пен сәйкес</v>
      </c>
    </row>
  </sheetData>
  <mergeCells count="1"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2026-10-01T10:55:29Z</dcterms:created>
  <dc:creator>openpyxl</dc:creator>
  <dc:description/>
  <dc:language>en-US</dc:language>
  <cp:lastModifiedBy/>
  <dcterms:modified xsi:type="dcterms:W3CDTF">2026-10-01T10:55:29Z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