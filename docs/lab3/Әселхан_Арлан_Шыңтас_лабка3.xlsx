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sel Kim\Downloads\"/>
    </mc:Choice>
  </mc:AlternateContent>
  <xr:revisionPtr revIDLastSave="0" documentId="13_ncr:1_{C24EBF92-48D7-4015-B92F-A49AD6F415FD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README" sheetId="1" r:id="rId1"/>
    <sheet name="TCO_3_Years" sheetId="2" r:id="rId2"/>
    <sheet name="Benefits_&amp;_ROI" sheetId="3" r:id="rId3"/>
    <sheet name="Sensitivity_Analysis" sheetId="4" r:id="rId4"/>
    <sheet name="Buy_vs_Build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8" i="5" l="1"/>
  <c r="E8" i="5" s="1"/>
  <c r="F8" i="5" s="1"/>
  <c r="D7" i="5"/>
  <c r="E7" i="5" s="1"/>
  <c r="F7" i="5" s="1"/>
  <c r="D6" i="5"/>
  <c r="E6" i="5" s="1"/>
  <c r="F6" i="5" s="1"/>
  <c r="F9" i="5" s="1"/>
  <c r="F12" i="5" s="1"/>
  <c r="D7" i="4"/>
  <c r="D6" i="4"/>
  <c r="D5" i="4"/>
  <c r="B29" i="3"/>
  <c r="B25" i="3"/>
  <c r="B14" i="3"/>
  <c r="B11" i="3"/>
  <c r="B13" i="3" s="1"/>
  <c r="B15" i="3" s="1"/>
  <c r="B16" i="3" s="1"/>
  <c r="F12" i="2"/>
  <c r="F11" i="5" s="1"/>
  <c r="E12" i="2"/>
  <c r="D12" i="2"/>
  <c r="B27" i="3" s="1"/>
  <c r="C12" i="2"/>
  <c r="B12" i="2"/>
  <c r="F11" i="2"/>
  <c r="F10" i="2"/>
  <c r="F9" i="2"/>
  <c r="F8" i="2"/>
  <c r="F7" i="2"/>
  <c r="F6" i="2"/>
  <c r="F5" i="2"/>
  <c r="B19" i="3" l="1"/>
  <c r="B21" i="3"/>
  <c r="B28" i="3"/>
  <c r="B20" i="3"/>
  <c r="B30" i="3"/>
  <c r="B4" i="4"/>
  <c r="B22" i="3" l="1"/>
  <c r="C4" i="4" l="1"/>
  <c r="D4" i="4" s="1"/>
  <c r="B26" i="3"/>
</calcChain>
</file>

<file path=xl/sharedStrings.xml><?xml version="1.0" encoding="utf-8"?>
<sst xmlns="http://schemas.openxmlformats.org/spreadsheetml/2006/main" count="92" uniqueCount="92">
  <si>
    <t>DentLux Clinic — Қаржылық модель (TCO / ROI / Sensitivity / Buy-vs-Build)</t>
  </si>
  <si>
    <t>Түс белгілері (Legend)</t>
  </si>
  <si>
    <t>Көк қаріп (Blue)</t>
  </si>
  <si>
    <t>Бастапқы деректер / қолмен енгізілген мәндер (inputs, hardcoded)</t>
  </si>
  <si>
    <t>Қара қаріп (Black)</t>
  </si>
  <si>
    <t>Формулалар (есептелетін мәндер)</t>
  </si>
  <si>
    <t>Жасыл қаріп (Green)</t>
  </si>
  <si>
    <t>Басқа парақтан сілтеме (cross-sheet link)</t>
  </si>
  <si>
    <t>Сары фон (Yellow fill)</t>
  </si>
  <si>
    <t>Негізгі болжамдар / өзгертуге болатын ұяшықтар</t>
  </si>
  <si>
    <t>Парақтар (Sheets)</t>
  </si>
  <si>
    <t>TCO_3_Years</t>
  </si>
  <si>
    <t>3 жылдық CAPEX/OPEX шығындар моделі. ЖИЫНЫ = 5 254 000 ₸.</t>
  </si>
  <si>
    <t>Benefits_&amp;_ROI</t>
  </si>
  <si>
    <t>No-show төмендеуі мен регистратура үнемінен түсетін пайда, ROI және өтелу мерзімі.</t>
  </si>
  <si>
    <t>Sensitivity_Analysis</t>
  </si>
  <si>
    <t>4 сценарий бойынша TCO/Пайда/ROI/Өтелу мерзімі салыстыруы.</t>
  </si>
  <si>
    <t>Buy_vs_Build</t>
  </si>
  <si>
    <t>SaaS CRM жалдау мен DentLux меншікті шешімінің 3 жылдық шығын салыстыруы.</t>
  </si>
  <si>
    <t>Дереккөз / Source</t>
  </si>
  <si>
    <t>ТОО «DentLux Clinic» жобасы бойынша №3 зертханалық жұмыс есебі (Ізбасхан Әселхан, Жандос Арлан).</t>
  </si>
  <si>
    <t>ТОО «DentLux Clinic» (Астана) — Онлайн жазылу және веб-сайт жүйесі</t>
  </si>
  <si>
    <t>Шығын баптары</t>
  </si>
  <si>
    <t>0-жыл (CAPEX)</t>
  </si>
  <si>
    <t>1-жыл (OPEX)</t>
  </si>
  <si>
    <t>2-жыл (OPEX)</t>
  </si>
  <si>
    <t>3-жыл (OPEX)</t>
  </si>
  <si>
    <t>3 жылдық TCO</t>
  </si>
  <si>
    <t>Әзірлеу (2 адам × 3 ай)</t>
  </si>
  <si>
    <t>Бастапқы баптау (SSL, миграция)</t>
  </si>
  <si>
    <t>VPS хостинг (KZ дерекорталық)</t>
  </si>
  <si>
    <t>Домен + SSL</t>
  </si>
  <si>
    <t>SMS-гейтвей (OTP растау)</t>
  </si>
  <si>
    <t>Қолдау және жаңарту</t>
  </si>
  <si>
    <t>Персоналды оқыту</t>
  </si>
  <si>
    <t>ЖИЫНЫ (TOTAL)</t>
  </si>
  <si>
    <t>Ескерту: барлық сандар — DentLux жоба есебінен (лабораториялық жұмыс №3) алынған бастапқы деректер.</t>
  </si>
  <si>
    <t>Пайда, ROI және өтелу мерзімі (Benefits &amp; ROI)</t>
  </si>
  <si>
    <t>Бастапқы айнымалылар (Inputs)</t>
  </si>
  <si>
    <t>Ай сайынғы қабылдау саны</t>
  </si>
  <si>
    <t>Орташа чек, ₸</t>
  </si>
  <si>
    <t>No-show деңгейі (болды), %</t>
  </si>
  <si>
    <t>No-show деңгейі (болады), %</t>
  </si>
  <si>
    <t>Администратор жалақысы, ₸/ай</t>
  </si>
  <si>
    <t>Регистратура уақытының босауы (FTE)</t>
  </si>
  <si>
    <t>No-show төмендеуі (Δ), %</t>
  </si>
  <si>
    <t>Айлық және жылдық пайда есебі</t>
  </si>
  <si>
    <t>ΔNo-show айлық пайдасы, ₸/ай</t>
  </si>
  <si>
    <t>Регистратура айлық үнемі, ₸/ай</t>
  </si>
  <si>
    <t>Тұрақты айлық пайда, ₸/ай</t>
  </si>
  <si>
    <t>Тұрақты жылдық пайда, ₸/жыл</t>
  </si>
  <si>
    <t>Ескерту: лабораториялық есепте жылдық пайда 9 240 000 ₸ деп көрсетілген, бірақ дәл осы формула бойынша (766 000 × 12) есептегенде 9 192 000 ₸ шығады — бұл бастапқы есептегі ~48 000 ₸ дөңгелектеу алшақтығы. Төмендегі барлық формулалар дәл, ішкі қайшылықсыз есептеу тізбегін көрсетеді.</t>
  </si>
  <si>
    <t>Жылдар бойынша пайда</t>
  </si>
  <si>
    <t>1-жыл пайдасы (9 ай, іске қосудан кейін)</t>
  </si>
  <si>
    <t>2-жыл пайдасы</t>
  </si>
  <si>
    <t>3-жыл пайдасы</t>
  </si>
  <si>
    <t>3 жылдық ЖАЛПЫ ПАЙДА (Total Benefits)</t>
  </si>
  <si>
    <t>Негізгі метрикалар (Metrics)</t>
  </si>
  <si>
    <t>Total TCO, ₸</t>
  </si>
  <si>
    <t>ROI, %</t>
  </si>
  <si>
    <t>Жылдық OPEX (2-жыл, тұрақты деңгей), ₸</t>
  </si>
  <si>
    <t>Айлық таза пайда, ₸/ай</t>
  </si>
  <si>
    <t>CAPEX (0-жыл), ₸</t>
  </si>
  <si>
    <t>Өтелу мерзімі (Payback), ай</t>
  </si>
  <si>
    <t>Сезімталдық талдауы (Sensitivity Analysis)</t>
  </si>
  <si>
    <t>Сценарий</t>
  </si>
  <si>
    <t>TCO (₸)</t>
  </si>
  <si>
    <t>Пайда, 3 жыл (₸)</t>
  </si>
  <si>
    <t>ROI (%)</t>
  </si>
  <si>
    <t>Өтелу мерзімі (ай)</t>
  </si>
  <si>
    <t>Негізгі сценарий (Base Case)</t>
  </si>
  <si>
    <t>А Сценарийі (Шығын +30%)</t>
  </si>
  <si>
    <t>Б Сценарийі (Әсер 50%)</t>
  </si>
  <si>
    <t>А+Б (Ең нашар сценарий)</t>
  </si>
  <si>
    <t>Ескерту: Негізгі сценарийдің ROI (~381.1%) Benefits_&amp;_ROI парағындағы дәл формулалардан алынады және бастапқы есептегі ~383.6% мәнінен сәл өзгеше (дөңгелектеу алшақтығына байланысты, Benefits_&amp;_ROI парағының A17 ескертуін қараңыз).</t>
  </si>
  <si>
    <t>Buy vs Build — SaaS CRM және DentLux In-house салыстыруы</t>
  </si>
  <si>
    <t>Бағам (курс), ₸/$</t>
  </si>
  <si>
    <t>Жыл</t>
  </si>
  <si>
    <t>Дәрігер саны</t>
  </si>
  <si>
    <t>SaaS айлық, $</t>
  </si>
  <si>
    <t>Курс, ₸/$</t>
  </si>
  <si>
    <t>SaaS айлық, ₸</t>
  </si>
  <si>
    <t>SaaS жылдық, ₸</t>
  </si>
  <si>
    <t>1-жыл</t>
  </si>
  <si>
    <t>2-жыл</t>
  </si>
  <si>
    <t>3-жыл</t>
  </si>
  <si>
    <t>SaaS ЖИЫНЫ (3 жыл)</t>
  </si>
  <si>
    <t>DentLux In-house TCO (3 жыл), ₸</t>
  </si>
  <si>
    <t>Айырмашылық (SaaS − In-house), ₸</t>
  </si>
  <si>
    <t>Қорытынды түсініктеме</t>
  </si>
  <si>
    <t>3 жылдық көкжиекте SaaS CRM тікелей сандық түрде арзанырақ көрінуі мүмкін, дегенмен ұзақ мерзімді перспективада DentLux меншікті шешімі тиімдірек: (1) дәрігерлер саны өскен сайын SaaS роялти сызықтық түрде өседі (врач/мес тарифі), ал in-house шешімде қосымша дәрігерге ешқандай қосымша төлем жоқ — тек OPEX тұрақты; (2) DentLux шешімі деректерді Қазақстан аумағында (KZ дерекорталық) сақтайды, бұл ДДҚ (жеке деректер туралы заң) талаптарына сай және SaaS провайдерге тәуелділікті болдырмайды; (3) бастапқы CAPEX 3-4 айда өтеледі (Benefits_&amp;_ROI парағын қараңыз), содан кейін жоба таза пайда әкеледі, ал SaaS шығыны әр жыл сайын қайталанады және клиника өскен сайын өседі.</t>
  </si>
  <si>
    <t>DentLux Clinic — 3 жылдық TCO моделі (Total Cost of Ownership) Иеленудің жалпы құны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</si>
</sst>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&quot; ₸&quot;"/>
    <numFmt numFmtId="165" formatCode="0.0%"/>
    <numFmt numFmtId="166" formatCode="0.0\%"/>
    <numFmt numFmtId="167" formatCode="0.0"/>
    <numFmt numFmtId="168" formatCode="#,##0&quot; $&quot;"/>
  </numFmts>
  <fonts count="10" x14ac:knownFonts="1">
    <font>
      <sz val="11"/>
      <color theme="1"/>
      <name val="Calibri"/>
      <family val="2"/>
      <charset val="1"/>
    </font>
    <font>
      <b/>
      <sz val="13"/>
      <color rgb="FF1F4E78"/>
      <name val="Arial"/>
      <charset val="1"/>
    </font>
    <font>
      <b/>
      <sz val="11"/>
      <color rgb="FF000000"/>
      <name val="Arial"/>
      <charset val="1"/>
    </font>
    <font>
      <sz val="11"/>
      <color rgb="FF000000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sz val="11"/>
      <color rgb="FF0000FF"/>
      <name val="Arial"/>
      <charset val="1"/>
    </font>
    <font>
      <i/>
      <sz val="9"/>
      <color rgb="FFC00000"/>
      <name val="Arial"/>
      <charset val="1"/>
    </font>
    <font>
      <sz val="11"/>
      <color rgb="FF008000"/>
      <name val="Arial"/>
      <charset val="1"/>
    </font>
    <font>
      <b/>
      <sz val="11"/>
      <color rgb="FF00800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BDD7EE"/>
      </patternFill>
    </fill>
    <fill>
      <patternFill patternType="solid">
        <fgColor rgb="FFBDD7EE"/>
        <bgColor rgb="FFD9E1F2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Font="1" applyAlignment="1">
      <alignment vertical="top" wrapText="1"/>
    </xf>
    <xf numFmtId="0" fontId="2" fillId="0" borderId="1" xfId="0" applyFont="1" applyBorder="1"/>
    <xf numFmtId="0" fontId="2" fillId="3" borderId="1" xfId="0" applyFont="1" applyFill="1" applyBorder="1"/>
    <xf numFmtId="0" fontId="7" fillId="0" borderId="0" xfId="0" applyFont="1" applyAlignment="1">
      <alignment vertical="top" wrapText="1"/>
    </xf>
    <xf numFmtId="0" fontId="2" fillId="4" borderId="2" xfId="0" applyFont="1" applyFill="1" applyBorder="1"/>
    <xf numFmtId="0" fontId="7" fillId="0" borderId="1" xfId="0" applyFont="1" applyBorder="1" applyAlignment="1">
      <alignment vertical="top" wrapText="1"/>
    </xf>
    <xf numFmtId="0" fontId="2" fillId="4" borderId="0" xfId="0" applyFont="1" applyFill="1"/>
    <xf numFmtId="0" fontId="4" fillId="0" borderId="0" xfId="0" applyFont="1"/>
    <xf numFmtId="0" fontId="4" fillId="0" borderId="0" xfId="0" applyFont="1" applyAlignment="1">
      <alignment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164" fontId="6" fillId="0" borderId="1" xfId="0" applyNumberFormat="1" applyFont="1" applyBorder="1"/>
    <xf numFmtId="164" fontId="3" fillId="0" borderId="1" xfId="0" applyNumberFormat="1" applyFont="1" applyBorder="1"/>
    <xf numFmtId="0" fontId="2" fillId="3" borderId="1" xfId="0" applyFont="1" applyFill="1" applyBorder="1"/>
    <xf numFmtId="164" fontId="2" fillId="3" borderId="1" xfId="0" applyNumberFormat="1" applyFont="1" applyFill="1" applyBorder="1"/>
    <xf numFmtId="3" fontId="6" fillId="5" borderId="1" xfId="0" applyNumberFormat="1" applyFont="1" applyFill="1" applyBorder="1"/>
    <xf numFmtId="165" fontId="6" fillId="5" borderId="1" xfId="0" applyNumberFormat="1" applyFont="1" applyFill="1" applyBorder="1"/>
    <xf numFmtId="165" fontId="3" fillId="0" borderId="1" xfId="0" applyNumberFormat="1" applyFont="1" applyBorder="1"/>
    <xf numFmtId="0" fontId="2" fillId="0" borderId="1" xfId="0" applyFont="1" applyBorder="1"/>
    <xf numFmtId="0" fontId="0" fillId="0" borderId="1" xfId="0" applyBorder="1"/>
    <xf numFmtId="164" fontId="8" fillId="0" borderId="1" xfId="0" applyNumberFormat="1" applyFont="1" applyBorder="1"/>
    <xf numFmtId="166" fontId="2" fillId="3" borderId="1" xfId="0" applyNumberFormat="1" applyFont="1" applyFill="1" applyBorder="1"/>
    <xf numFmtId="167" fontId="2" fillId="3" borderId="1" xfId="0" applyNumberFormat="1" applyFont="1" applyFill="1" applyBorder="1"/>
    <xf numFmtId="166" fontId="3" fillId="0" borderId="1" xfId="0" applyNumberFormat="1" applyFont="1" applyBorder="1"/>
    <xf numFmtId="167" fontId="6" fillId="0" borderId="1" xfId="0" applyNumberFormat="1" applyFont="1" applyBorder="1"/>
    <xf numFmtId="3" fontId="6" fillId="5" borderId="0" xfId="0" applyNumberFormat="1" applyFont="1" applyFill="1"/>
    <xf numFmtId="0" fontId="6" fillId="0" borderId="1" xfId="0" applyFont="1" applyBorder="1"/>
    <xf numFmtId="168" fontId="6" fillId="0" borderId="1" xfId="0" applyNumberFormat="1" applyFont="1" applyBorder="1"/>
    <xf numFmtId="3" fontId="3" fillId="0" borderId="1" xfId="0" applyNumberFormat="1" applyFont="1" applyBorder="1"/>
    <xf numFmtId="164" fontId="9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zoomScaleNormal="100" workbookViewId="0"/>
  </sheetViews>
  <sheetFormatPr defaultColWidth="8.6640625" defaultRowHeight="14.4" x14ac:dyDescent="0.3"/>
  <cols>
    <col min="1" max="1" width="45" customWidth="1"/>
    <col min="2" max="2" width="60" customWidth="1"/>
  </cols>
  <sheetData>
    <row r="1" spans="1:2" ht="15.75" customHeight="1" x14ac:dyDescent="0.3">
      <c r="A1" s="10" t="s">
        <v>0</v>
      </c>
      <c r="B1" s="10"/>
    </row>
    <row r="3" spans="1:2" ht="15" customHeight="1" x14ac:dyDescent="0.3">
      <c r="A3" s="11" t="s">
        <v>1</v>
      </c>
    </row>
    <row r="4" spans="1:2" ht="15" customHeight="1" x14ac:dyDescent="0.3">
      <c r="A4" s="11" t="s">
        <v>2</v>
      </c>
      <c r="B4" s="12" t="s">
        <v>3</v>
      </c>
    </row>
    <row r="5" spans="1:2" ht="15" customHeight="1" x14ac:dyDescent="0.3">
      <c r="A5" s="11" t="s">
        <v>4</v>
      </c>
      <c r="B5" s="12" t="s">
        <v>5</v>
      </c>
    </row>
    <row r="6" spans="1:2" ht="15" customHeight="1" x14ac:dyDescent="0.3">
      <c r="A6" s="11" t="s">
        <v>6</v>
      </c>
      <c r="B6" s="12" t="s">
        <v>7</v>
      </c>
    </row>
    <row r="7" spans="1:2" ht="15" customHeight="1" x14ac:dyDescent="0.3">
      <c r="A7" s="11" t="s">
        <v>8</v>
      </c>
      <c r="B7" s="12" t="s">
        <v>9</v>
      </c>
    </row>
    <row r="9" spans="1:2" ht="15" customHeight="1" x14ac:dyDescent="0.3">
      <c r="A9" s="11" t="s">
        <v>10</v>
      </c>
    </row>
    <row r="10" spans="1:2" ht="26.25" customHeight="1" x14ac:dyDescent="0.3">
      <c r="A10" s="12" t="s">
        <v>11</v>
      </c>
      <c r="B10" s="13" t="s">
        <v>12</v>
      </c>
    </row>
    <row r="11" spans="1:2" ht="26.25" customHeight="1" x14ac:dyDescent="0.3">
      <c r="A11" s="12" t="s">
        <v>13</v>
      </c>
      <c r="B11" s="13" t="s">
        <v>14</v>
      </c>
    </row>
    <row r="12" spans="1:2" ht="26.25" customHeight="1" x14ac:dyDescent="0.3">
      <c r="A12" s="12" t="s">
        <v>15</v>
      </c>
      <c r="B12" s="13" t="s">
        <v>16</v>
      </c>
    </row>
    <row r="13" spans="1:2" ht="26.25" customHeight="1" x14ac:dyDescent="0.3">
      <c r="A13" s="12" t="s">
        <v>17</v>
      </c>
      <c r="B13" s="13" t="s">
        <v>18</v>
      </c>
    </row>
    <row r="15" spans="1:2" ht="15" customHeight="1" x14ac:dyDescent="0.3">
      <c r="A15" s="11" t="s">
        <v>19</v>
      </c>
    </row>
    <row r="16" spans="1:2" ht="15" customHeight="1" x14ac:dyDescent="0.3">
      <c r="A16" s="9" t="s">
        <v>20</v>
      </c>
      <c r="B16" s="9"/>
    </row>
  </sheetData>
  <mergeCells count="2">
    <mergeCell ref="A1:B1"/>
    <mergeCell ref="A16:B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tabSelected="1" zoomScaleNormal="100" workbookViewId="0">
      <pane ySplit="4" topLeftCell="A5" activePane="bottomLeft" state="frozen"/>
      <selection pane="bottomLeft" sqref="A1:F1"/>
    </sheetView>
  </sheetViews>
  <sheetFormatPr defaultColWidth="8.6640625" defaultRowHeight="14.4" x14ac:dyDescent="0.3"/>
  <cols>
    <col min="1" max="1" width="42" customWidth="1"/>
    <col min="2" max="6" width="16" customWidth="1"/>
  </cols>
  <sheetData>
    <row r="1" spans="1:6" ht="15.75" customHeight="1" x14ac:dyDescent="0.3">
      <c r="A1" s="10" t="s">
        <v>91</v>
      </c>
      <c r="B1" s="10"/>
      <c r="C1" s="10"/>
      <c r="D1" s="10"/>
      <c r="E1" s="10"/>
      <c r="F1" s="10"/>
    </row>
    <row r="2" spans="1:6" ht="15" customHeight="1" x14ac:dyDescent="0.3">
      <c r="A2" s="8" t="s">
        <v>21</v>
      </c>
      <c r="B2" s="8"/>
      <c r="C2" s="8"/>
      <c r="D2" s="8"/>
      <c r="E2" s="8"/>
      <c r="F2" s="8"/>
    </row>
    <row r="4" spans="1:6" ht="30" customHeight="1" x14ac:dyDescent="0.3">
      <c r="A4" s="14" t="s">
        <v>22</v>
      </c>
      <c r="B4" s="14" t="s">
        <v>23</v>
      </c>
      <c r="C4" s="14" t="s">
        <v>24</v>
      </c>
      <c r="D4" s="14" t="s">
        <v>25</v>
      </c>
      <c r="E4" s="14" t="s">
        <v>26</v>
      </c>
      <c r="F4" s="14" t="s">
        <v>27</v>
      </c>
    </row>
    <row r="5" spans="1:6" ht="15" customHeight="1" x14ac:dyDescent="0.3">
      <c r="A5" s="15" t="s">
        <v>28</v>
      </c>
      <c r="B5" s="16">
        <v>1950000</v>
      </c>
      <c r="C5" s="16">
        <v>0</v>
      </c>
      <c r="D5" s="16">
        <v>0</v>
      </c>
      <c r="E5" s="16">
        <v>0</v>
      </c>
      <c r="F5" s="17">
        <f t="shared" ref="F5:F11" si="0">SUM(B5:E5)</f>
        <v>1950000</v>
      </c>
    </row>
    <row r="6" spans="1:6" ht="15" customHeight="1" x14ac:dyDescent="0.3">
      <c r="A6" s="15" t="s">
        <v>29</v>
      </c>
      <c r="B6" s="16">
        <v>100000</v>
      </c>
      <c r="C6" s="16">
        <v>0</v>
      </c>
      <c r="D6" s="16">
        <v>0</v>
      </c>
      <c r="E6" s="16">
        <v>0</v>
      </c>
      <c r="F6" s="17">
        <f t="shared" si="0"/>
        <v>100000</v>
      </c>
    </row>
    <row r="7" spans="1:6" ht="15" customHeight="1" x14ac:dyDescent="0.3">
      <c r="A7" s="15" t="s">
        <v>30</v>
      </c>
      <c r="B7" s="16">
        <v>0</v>
      </c>
      <c r="C7" s="16">
        <v>216000</v>
      </c>
      <c r="D7" s="16">
        <v>216000</v>
      </c>
      <c r="E7" s="16">
        <v>216000</v>
      </c>
      <c r="F7" s="17">
        <f t="shared" si="0"/>
        <v>648000</v>
      </c>
    </row>
    <row r="8" spans="1:6" ht="15" customHeight="1" x14ac:dyDescent="0.3">
      <c r="A8" s="15" t="s">
        <v>31</v>
      </c>
      <c r="B8" s="16">
        <v>0</v>
      </c>
      <c r="C8" s="16">
        <v>6000</v>
      </c>
      <c r="D8" s="16">
        <v>6000</v>
      </c>
      <c r="E8" s="16">
        <v>6000</v>
      </c>
      <c r="F8" s="17">
        <f t="shared" si="0"/>
        <v>18000</v>
      </c>
    </row>
    <row r="9" spans="1:6" ht="15" customHeight="1" x14ac:dyDescent="0.3">
      <c r="A9" s="15" t="s">
        <v>32</v>
      </c>
      <c r="B9" s="16">
        <v>0</v>
      </c>
      <c r="C9" s="16">
        <v>216000</v>
      </c>
      <c r="D9" s="16">
        <v>216000</v>
      </c>
      <c r="E9" s="16">
        <v>216000</v>
      </c>
      <c r="F9" s="17">
        <f t="shared" si="0"/>
        <v>648000</v>
      </c>
    </row>
    <row r="10" spans="1:6" ht="15" customHeight="1" x14ac:dyDescent="0.3">
      <c r="A10" s="15" t="s">
        <v>33</v>
      </c>
      <c r="B10" s="16">
        <v>0</v>
      </c>
      <c r="C10" s="16">
        <v>600000</v>
      </c>
      <c r="D10" s="16">
        <v>600000</v>
      </c>
      <c r="E10" s="16">
        <v>600000</v>
      </c>
      <c r="F10" s="17">
        <f t="shared" si="0"/>
        <v>1800000</v>
      </c>
    </row>
    <row r="11" spans="1:6" ht="15" customHeight="1" x14ac:dyDescent="0.3">
      <c r="A11" s="15" t="s">
        <v>34</v>
      </c>
      <c r="B11" s="16">
        <v>0</v>
      </c>
      <c r="C11" s="16">
        <v>50000</v>
      </c>
      <c r="D11" s="16">
        <v>20000</v>
      </c>
      <c r="E11" s="16">
        <v>20000</v>
      </c>
      <c r="F11" s="17">
        <f t="shared" si="0"/>
        <v>90000</v>
      </c>
    </row>
    <row r="12" spans="1:6" ht="15" customHeight="1" x14ac:dyDescent="0.3">
      <c r="A12" s="18" t="s">
        <v>35</v>
      </c>
      <c r="B12" s="19">
        <f>SUM(B5:B11)</f>
        <v>2050000</v>
      </c>
      <c r="C12" s="19">
        <f>SUM(C5:C11)</f>
        <v>1088000</v>
      </c>
      <c r="D12" s="19">
        <f>SUM(D5:D11)</f>
        <v>1058000</v>
      </c>
      <c r="E12" s="19">
        <f>SUM(E5:E11)</f>
        <v>1058000</v>
      </c>
      <c r="F12" s="19">
        <f>SUM(F5:F11)</f>
        <v>5254000</v>
      </c>
    </row>
    <row r="14" spans="1:6" ht="15" customHeight="1" x14ac:dyDescent="0.3">
      <c r="A14" s="8" t="s">
        <v>36</v>
      </c>
      <c r="B14" s="8"/>
      <c r="C14" s="8"/>
      <c r="D14" s="8"/>
      <c r="E14" s="8"/>
      <c r="F14" s="8"/>
    </row>
  </sheetData>
  <mergeCells count="3">
    <mergeCell ref="A1:F1"/>
    <mergeCell ref="A2:F2"/>
    <mergeCell ref="A14:F1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0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42" customWidth="1"/>
    <col min="2" max="3" width="18" customWidth="1"/>
    <col min="4" max="4" width="30" customWidth="1"/>
  </cols>
  <sheetData>
    <row r="1" spans="1:4" ht="15.75" customHeight="1" x14ac:dyDescent="0.3">
      <c r="A1" s="10" t="s">
        <v>37</v>
      </c>
      <c r="B1" s="10"/>
      <c r="C1" s="10"/>
      <c r="D1" s="10"/>
    </row>
    <row r="3" spans="1:4" ht="15" customHeight="1" x14ac:dyDescent="0.3">
      <c r="A3" s="7" t="s">
        <v>38</v>
      </c>
      <c r="B3" s="7"/>
      <c r="C3" s="7"/>
      <c r="D3" s="7"/>
    </row>
    <row r="4" spans="1:4" ht="15" customHeight="1" x14ac:dyDescent="0.3">
      <c r="A4" s="15" t="s">
        <v>39</v>
      </c>
      <c r="B4" s="20">
        <v>520</v>
      </c>
    </row>
    <row r="5" spans="1:4" ht="15" customHeight="1" x14ac:dyDescent="0.3">
      <c r="A5" s="15" t="s">
        <v>40</v>
      </c>
      <c r="B5" s="20">
        <v>10000</v>
      </c>
    </row>
    <row r="6" spans="1:4" ht="15" customHeight="1" x14ac:dyDescent="0.3">
      <c r="A6" s="15" t="s">
        <v>41</v>
      </c>
      <c r="B6" s="21">
        <v>0.18</v>
      </c>
    </row>
    <row r="7" spans="1:4" ht="15" customHeight="1" x14ac:dyDescent="0.3">
      <c r="A7" s="15" t="s">
        <v>42</v>
      </c>
      <c r="B7" s="21">
        <v>0.05</v>
      </c>
    </row>
    <row r="8" spans="1:4" ht="15" customHeight="1" x14ac:dyDescent="0.3">
      <c r="A8" s="15" t="s">
        <v>43</v>
      </c>
      <c r="B8" s="20">
        <v>180000</v>
      </c>
    </row>
    <row r="9" spans="1:4" ht="15" customHeight="1" x14ac:dyDescent="0.3">
      <c r="A9" s="15" t="s">
        <v>44</v>
      </c>
      <c r="B9" s="20">
        <v>0.5</v>
      </c>
    </row>
    <row r="11" spans="1:4" ht="15" customHeight="1" x14ac:dyDescent="0.3">
      <c r="A11" s="15" t="s">
        <v>45</v>
      </c>
      <c r="B11" s="22">
        <f>$B$6-$B$7</f>
        <v>0.13</v>
      </c>
    </row>
    <row r="12" spans="1:4" ht="15" customHeight="1" x14ac:dyDescent="0.3">
      <c r="A12" s="7" t="s">
        <v>46</v>
      </c>
      <c r="B12" s="7"/>
      <c r="C12" s="7"/>
      <c r="D12" s="7"/>
    </row>
    <row r="13" spans="1:4" ht="15" customHeight="1" x14ac:dyDescent="0.3">
      <c r="A13" s="15" t="s">
        <v>47</v>
      </c>
      <c r="B13" s="17">
        <f>B11*$B$4*$B$5</f>
        <v>676000.00000000012</v>
      </c>
    </row>
    <row r="14" spans="1:4" ht="15" customHeight="1" x14ac:dyDescent="0.3">
      <c r="A14" s="15" t="s">
        <v>48</v>
      </c>
      <c r="B14" s="17">
        <f>$B$9*$B$8</f>
        <v>90000</v>
      </c>
    </row>
    <row r="15" spans="1:4" ht="15" customHeight="1" x14ac:dyDescent="0.3">
      <c r="A15" s="23" t="s">
        <v>49</v>
      </c>
      <c r="B15" s="19">
        <f>B13+B14</f>
        <v>766000.00000000012</v>
      </c>
    </row>
    <row r="16" spans="1:4" ht="15" customHeight="1" x14ac:dyDescent="0.3">
      <c r="A16" s="23" t="s">
        <v>50</v>
      </c>
      <c r="B16" s="19">
        <f>B15*12</f>
        <v>9192000.0000000019</v>
      </c>
    </row>
    <row r="17" spans="1:4" ht="39.75" customHeight="1" x14ac:dyDescent="0.3">
      <c r="A17" s="6" t="s">
        <v>51</v>
      </c>
      <c r="B17" s="6"/>
      <c r="C17" s="6"/>
      <c r="D17" s="6"/>
    </row>
    <row r="18" spans="1:4" ht="15" customHeight="1" x14ac:dyDescent="0.3">
      <c r="A18" s="5" t="s">
        <v>52</v>
      </c>
      <c r="B18" s="5"/>
      <c r="C18" s="5"/>
      <c r="D18" s="5"/>
    </row>
    <row r="19" spans="1:4" ht="15" customHeight="1" x14ac:dyDescent="0.3">
      <c r="A19" s="15" t="s">
        <v>53</v>
      </c>
      <c r="B19" s="17">
        <f>B16*(9/12)</f>
        <v>6894000.0000000019</v>
      </c>
    </row>
    <row r="20" spans="1:4" ht="15" customHeight="1" x14ac:dyDescent="0.3">
      <c r="A20" s="15" t="s">
        <v>54</v>
      </c>
      <c r="B20" s="17">
        <f>B16</f>
        <v>9192000.0000000019</v>
      </c>
    </row>
    <row r="21" spans="1:4" ht="15" customHeight="1" x14ac:dyDescent="0.3">
      <c r="A21" s="15" t="s">
        <v>55</v>
      </c>
      <c r="B21" s="17">
        <f>B16</f>
        <v>9192000.0000000019</v>
      </c>
    </row>
    <row r="22" spans="1:4" ht="15" customHeight="1" x14ac:dyDescent="0.3">
      <c r="A22" s="23" t="s">
        <v>56</v>
      </c>
      <c r="B22" s="19">
        <f>SUM(B19:B21)</f>
        <v>25278000.000000007</v>
      </c>
    </row>
    <row r="23" spans="1:4" ht="15" customHeight="1" x14ac:dyDescent="0.3">
      <c r="A23" s="24"/>
      <c r="B23" s="24"/>
    </row>
    <row r="24" spans="1:4" ht="15" customHeight="1" x14ac:dyDescent="0.3">
      <c r="A24" s="5" t="s">
        <v>57</v>
      </c>
      <c r="B24" s="5"/>
      <c r="C24" s="5"/>
      <c r="D24" s="5"/>
    </row>
    <row r="25" spans="1:4" ht="15" customHeight="1" x14ac:dyDescent="0.3">
      <c r="A25" s="15" t="s">
        <v>58</v>
      </c>
      <c r="B25" s="25">
        <f>TCO_3_Years!F12</f>
        <v>5254000</v>
      </c>
    </row>
    <row r="26" spans="1:4" ht="15" customHeight="1" x14ac:dyDescent="0.3">
      <c r="A26" s="23" t="s">
        <v>59</v>
      </c>
      <c r="B26" s="26">
        <f>((B22-B25)/B25)*100</f>
        <v>381.11914731633055</v>
      </c>
    </row>
    <row r="27" spans="1:4" ht="15" customHeight="1" x14ac:dyDescent="0.3">
      <c r="A27" s="15" t="s">
        <v>60</v>
      </c>
      <c r="B27" s="25">
        <f>TCO_3_Years!D12</f>
        <v>1058000</v>
      </c>
    </row>
    <row r="28" spans="1:4" ht="15" customHeight="1" x14ac:dyDescent="0.3">
      <c r="A28" s="15" t="s">
        <v>61</v>
      </c>
      <c r="B28" s="17">
        <f>(B16/12)-(B27/12)</f>
        <v>677833.33333333349</v>
      </c>
    </row>
    <row r="29" spans="1:4" ht="15" customHeight="1" x14ac:dyDescent="0.3">
      <c r="A29" s="15" t="s">
        <v>62</v>
      </c>
      <c r="B29" s="25">
        <f>TCO_3_Years!B12</f>
        <v>2050000</v>
      </c>
    </row>
    <row r="30" spans="1:4" ht="15" customHeight="1" x14ac:dyDescent="0.3">
      <c r="A30" s="23" t="s">
        <v>63</v>
      </c>
      <c r="B30" s="27">
        <f>B29/B28</f>
        <v>3.0243422670272921</v>
      </c>
    </row>
  </sheetData>
  <mergeCells count="6">
    <mergeCell ref="A24:D24"/>
    <mergeCell ref="A1:D1"/>
    <mergeCell ref="A3:D3"/>
    <mergeCell ref="A12:D12"/>
    <mergeCell ref="A17:D17"/>
    <mergeCell ref="A18:D1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30" customWidth="1"/>
    <col min="2" max="2" width="18" customWidth="1"/>
    <col min="3" max="3" width="20" customWidth="1"/>
    <col min="4" max="4" width="14" customWidth="1"/>
    <col min="5" max="5" width="18" customWidth="1"/>
  </cols>
  <sheetData>
    <row r="1" spans="1:5" ht="15.75" customHeight="1" x14ac:dyDescent="0.3">
      <c r="A1" s="10" t="s">
        <v>64</v>
      </c>
      <c r="B1" s="10"/>
      <c r="C1" s="10"/>
      <c r="D1" s="10"/>
      <c r="E1" s="10"/>
    </row>
    <row r="3" spans="1:5" ht="30" customHeight="1" x14ac:dyDescent="0.3">
      <c r="A3" s="14" t="s">
        <v>65</v>
      </c>
      <c r="B3" s="14" t="s">
        <v>66</v>
      </c>
      <c r="C3" s="14" t="s">
        <v>67</v>
      </c>
      <c r="D3" s="14" t="s">
        <v>68</v>
      </c>
      <c r="E3" s="14" t="s">
        <v>69</v>
      </c>
    </row>
    <row r="4" spans="1:5" ht="15" customHeight="1" x14ac:dyDescent="0.3">
      <c r="A4" s="15" t="s">
        <v>70</v>
      </c>
      <c r="B4" s="25">
        <f>TCO_3_Years!F12</f>
        <v>5254000</v>
      </c>
      <c r="C4" s="25">
        <f>'Benefits_&amp;_ROI'!B22</f>
        <v>25278000.000000007</v>
      </c>
      <c r="D4" s="28">
        <f>((C4-B4)/B4)*100</f>
        <v>381.11914731633055</v>
      </c>
      <c r="E4" s="29">
        <v>3</v>
      </c>
    </row>
    <row r="5" spans="1:5" ht="15" customHeight="1" x14ac:dyDescent="0.3">
      <c r="A5" s="15" t="s">
        <v>71</v>
      </c>
      <c r="B5" s="16">
        <v>6830200</v>
      </c>
      <c r="C5" s="16">
        <v>25410000</v>
      </c>
      <c r="D5" s="28">
        <f>((C5-B5)/B5)*100</f>
        <v>272.02424526368191</v>
      </c>
      <c r="E5" s="29">
        <v>4.0999999999999996</v>
      </c>
    </row>
    <row r="6" spans="1:5" ht="15" customHeight="1" x14ac:dyDescent="0.3">
      <c r="A6" s="15" t="s">
        <v>72</v>
      </c>
      <c r="B6" s="16">
        <v>5254000</v>
      </c>
      <c r="C6" s="16">
        <v>12705000</v>
      </c>
      <c r="D6" s="28">
        <f>((C6-B6)/B6)*100</f>
        <v>141.81575942139321</v>
      </c>
      <c r="E6" s="29">
        <v>6.9</v>
      </c>
    </row>
    <row r="7" spans="1:5" ht="15" customHeight="1" x14ac:dyDescent="0.3">
      <c r="A7" s="15" t="s">
        <v>73</v>
      </c>
      <c r="B7" s="16">
        <v>6830200</v>
      </c>
      <c r="C7" s="16">
        <v>12705000</v>
      </c>
      <c r="D7" s="28">
        <f>((C7-B7)/B7)*100</f>
        <v>86.012122631840938</v>
      </c>
      <c r="E7" s="29">
        <v>9.9</v>
      </c>
    </row>
    <row r="9" spans="1:5" ht="30" customHeight="1" x14ac:dyDescent="0.3">
      <c r="A9" s="4" t="s">
        <v>74</v>
      </c>
      <c r="B9" s="4"/>
      <c r="C9" s="4"/>
      <c r="D9" s="4"/>
      <c r="E9" s="4"/>
    </row>
  </sheetData>
  <mergeCells count="2">
    <mergeCell ref="A1:E1"/>
    <mergeCell ref="A9:E9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9"/>
  <sheetViews>
    <sheetView zoomScaleNormal="100" workbookViewId="0">
      <pane ySplit="5" topLeftCell="A6" activePane="bottomLeft" state="frozen"/>
      <selection pane="bottomLeft"/>
    </sheetView>
  </sheetViews>
  <sheetFormatPr defaultColWidth="8.6640625" defaultRowHeight="14.4" x14ac:dyDescent="0.3"/>
  <cols>
    <col min="1" max="1" width="26" customWidth="1"/>
    <col min="2" max="2" width="14" customWidth="1"/>
    <col min="3" max="3" width="16" customWidth="1"/>
    <col min="4" max="4" width="14" customWidth="1"/>
    <col min="5" max="6" width="18" customWidth="1"/>
  </cols>
  <sheetData>
    <row r="1" spans="1:6" ht="15.75" customHeight="1" x14ac:dyDescent="0.3">
      <c r="A1" s="10" t="s">
        <v>75</v>
      </c>
      <c r="B1" s="10"/>
      <c r="C1" s="10"/>
      <c r="D1" s="10"/>
      <c r="E1" s="10"/>
      <c r="F1" s="10"/>
    </row>
    <row r="3" spans="1:6" ht="15" customHeight="1" x14ac:dyDescent="0.3">
      <c r="A3" s="12" t="s">
        <v>76</v>
      </c>
      <c r="B3" s="30">
        <v>480</v>
      </c>
    </row>
    <row r="5" spans="1:6" ht="30" customHeight="1" x14ac:dyDescent="0.3">
      <c r="A5" s="14" t="s">
        <v>77</v>
      </c>
      <c r="B5" s="14" t="s">
        <v>78</v>
      </c>
      <c r="C5" s="14" t="s">
        <v>79</v>
      </c>
      <c r="D5" s="14" t="s">
        <v>80</v>
      </c>
      <c r="E5" s="14" t="s">
        <v>81</v>
      </c>
      <c r="F5" s="14" t="s">
        <v>82</v>
      </c>
    </row>
    <row r="6" spans="1:6" ht="15" customHeight="1" x14ac:dyDescent="0.3">
      <c r="A6" s="15" t="s">
        <v>83</v>
      </c>
      <c r="B6" s="31">
        <v>5</v>
      </c>
      <c r="C6" s="32">
        <v>250</v>
      </c>
      <c r="D6" s="33">
        <f>$B3</f>
        <v>480</v>
      </c>
      <c r="E6" s="17">
        <f>C6*D6</f>
        <v>120000</v>
      </c>
      <c r="F6" s="17">
        <f>E6*12</f>
        <v>1440000</v>
      </c>
    </row>
    <row r="7" spans="1:6" ht="15" customHeight="1" x14ac:dyDescent="0.3">
      <c r="A7" s="15" t="s">
        <v>84</v>
      </c>
      <c r="B7" s="31">
        <v>6</v>
      </c>
      <c r="C7" s="32">
        <v>270</v>
      </c>
      <c r="D7" s="33">
        <f>$B3</f>
        <v>480</v>
      </c>
      <c r="E7" s="17">
        <f>C7*D7</f>
        <v>129600</v>
      </c>
      <c r="F7" s="17">
        <f>E7*12</f>
        <v>1555200</v>
      </c>
    </row>
    <row r="8" spans="1:6" ht="15" customHeight="1" x14ac:dyDescent="0.3">
      <c r="A8" s="15" t="s">
        <v>85</v>
      </c>
      <c r="B8" s="31">
        <v>8</v>
      </c>
      <c r="C8" s="32">
        <v>310</v>
      </c>
      <c r="D8" s="33">
        <f>$B3</f>
        <v>480</v>
      </c>
      <c r="E8" s="17">
        <f>C8*D8</f>
        <v>148800</v>
      </c>
      <c r="F8" s="17">
        <f>E8*12</f>
        <v>1785600</v>
      </c>
    </row>
    <row r="9" spans="1:6" ht="15" customHeight="1" x14ac:dyDescent="0.3">
      <c r="A9" s="3" t="s">
        <v>86</v>
      </c>
      <c r="B9" s="3"/>
      <c r="C9" s="3"/>
      <c r="D9" s="3"/>
      <c r="E9" s="3"/>
      <c r="F9" s="19">
        <f>SUM(F6:F8)</f>
        <v>4780800</v>
      </c>
    </row>
    <row r="11" spans="1:6" ht="15" customHeight="1" x14ac:dyDescent="0.3">
      <c r="A11" s="2" t="s">
        <v>87</v>
      </c>
      <c r="B11" s="2"/>
      <c r="C11" s="2"/>
      <c r="D11" s="2"/>
      <c r="E11" s="2"/>
      <c r="F11" s="34">
        <f>TCO_3_Years!F12</f>
        <v>5254000</v>
      </c>
    </row>
    <row r="12" spans="1:6" ht="15" customHeight="1" x14ac:dyDescent="0.3">
      <c r="A12" s="3" t="s">
        <v>88</v>
      </c>
      <c r="B12" s="3"/>
      <c r="C12" s="3"/>
      <c r="D12" s="3"/>
      <c r="E12" s="3"/>
      <c r="F12" s="19">
        <f>F9-F11</f>
        <v>-473200</v>
      </c>
    </row>
    <row r="14" spans="1:6" ht="15" customHeight="1" x14ac:dyDescent="0.3">
      <c r="A14" s="7" t="s">
        <v>89</v>
      </c>
      <c r="B14" s="7"/>
      <c r="C14" s="7"/>
      <c r="D14" s="7"/>
      <c r="E14" s="7"/>
      <c r="F14" s="7"/>
    </row>
    <row r="15" spans="1:6" ht="15" customHeight="1" x14ac:dyDescent="0.3">
      <c r="A15" s="1" t="s">
        <v>90</v>
      </c>
      <c r="B15" s="1"/>
      <c r="C15" s="1"/>
      <c r="D15" s="1"/>
      <c r="E15" s="1"/>
      <c r="F15" s="1"/>
    </row>
    <row r="16" spans="1:6" ht="15" customHeight="1" x14ac:dyDescent="0.3">
      <c r="A16" s="1"/>
      <c r="B16" s="1"/>
      <c r="C16" s="1"/>
      <c r="D16" s="1"/>
      <c r="E16" s="1"/>
      <c r="F16" s="1"/>
    </row>
    <row r="17" spans="1:6" ht="15" customHeight="1" x14ac:dyDescent="0.3">
      <c r="A17" s="1"/>
      <c r="B17" s="1"/>
      <c r="C17" s="1"/>
      <c r="D17" s="1"/>
      <c r="E17" s="1"/>
      <c r="F17" s="1"/>
    </row>
    <row r="18" spans="1:6" ht="15" customHeight="1" x14ac:dyDescent="0.3">
      <c r="A18" s="1"/>
      <c r="B18" s="1"/>
      <c r="C18" s="1"/>
      <c r="D18" s="1"/>
      <c r="E18" s="1"/>
      <c r="F18" s="1"/>
    </row>
    <row r="19" spans="1:6" ht="15" customHeight="1" x14ac:dyDescent="0.3">
      <c r="A19" s="1"/>
      <c r="B19" s="1"/>
      <c r="C19" s="1"/>
      <c r="D19" s="1"/>
      <c r="E19" s="1"/>
      <c r="F19" s="1"/>
    </row>
  </sheetData>
  <mergeCells count="6">
    <mergeCell ref="A15:F19"/>
    <mergeCell ref="A1:F1"/>
    <mergeCell ref="A9:E9"/>
    <mergeCell ref="A11:E11"/>
    <mergeCell ref="A12:E12"/>
    <mergeCell ref="A14:F1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TCO_3_Years</vt:lpstr>
      <vt:lpstr>Benefits_&amp;_ROI</vt:lpstr>
      <vt:lpstr>Sensitivity_Analysis</vt:lpstr>
      <vt:lpstr>Buy_vs_Build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Assel Kim</cp:lastModifiedBy>
  <cp:revision>0</cp:revision>
  <dcterms:created xsi:type="dcterms:W3CDTF">2026-09-23T18:26:35Z</dcterms:created>
  <dcterms:modified xsi:type="dcterms:W3CDTF">2026-09-24T13:21:06Z</dcterms:modified>
  <dc:language>en-US</dc:language>
</cp:coreProperties>
</file>